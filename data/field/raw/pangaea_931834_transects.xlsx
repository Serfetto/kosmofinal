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ata_import\PDI-26574_Gutow\"/>
    </mc:Choice>
  </mc:AlternateContent>
  <bookViews>
    <workbookView xWindow="0" yWindow="0" windowWidth="30720" windowHeight="13380"/>
  </bookViews>
  <sheets>
    <sheet name="Transect meta data" sheetId="2" r:id="rId1"/>
  </sheets>
  <definedNames>
    <definedName name="_xlnm._FilterDatabase" localSheetId="0" hidden="1">'Transect meta data'!$A$1:$U$1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74" i="2" l="1"/>
  <c r="L74" i="2" s="1"/>
  <c r="R74" i="2" s="1"/>
  <c r="K73" i="2"/>
  <c r="L73" i="2" s="1"/>
  <c r="P73" i="2" s="1"/>
  <c r="K72" i="2"/>
  <c r="L72" i="2" s="1"/>
  <c r="K71" i="2"/>
  <c r="L71" i="2" s="1"/>
  <c r="K70" i="2"/>
  <c r="L70" i="2" s="1"/>
  <c r="P70" i="2" s="1"/>
  <c r="K69" i="2"/>
  <c r="L69" i="2" s="1"/>
  <c r="K68" i="2"/>
  <c r="L68" i="2" s="1"/>
  <c r="P68" i="2" s="1"/>
  <c r="K67" i="2"/>
  <c r="L67" i="2" s="1"/>
  <c r="P67" i="2" s="1"/>
  <c r="R70" i="2" l="1"/>
  <c r="R68" i="2"/>
  <c r="N67" i="2"/>
  <c r="N74" i="2"/>
  <c r="R67" i="2"/>
  <c r="N68" i="2"/>
  <c r="P71" i="2"/>
  <c r="N71" i="2"/>
  <c r="R71" i="2"/>
  <c r="P69" i="2"/>
  <c r="N69" i="2"/>
  <c r="R69" i="2"/>
  <c r="P72" i="2"/>
  <c r="N72" i="2"/>
  <c r="R72" i="2"/>
  <c r="R73" i="2"/>
  <c r="N73" i="2"/>
  <c r="P74" i="2"/>
  <c r="N70" i="2"/>
  <c r="K66" i="2"/>
  <c r="L66" i="2" s="1"/>
  <c r="R66" i="2" s="1"/>
  <c r="P66" i="2" l="1"/>
  <c r="N66" i="2"/>
  <c r="K65" i="2"/>
  <c r="L65" i="2" s="1"/>
  <c r="K64" i="2"/>
  <c r="L64" i="2" s="1"/>
  <c r="R64" i="2" s="1"/>
  <c r="K63" i="2"/>
  <c r="L63" i="2"/>
  <c r="R63" i="2" s="1"/>
  <c r="K62" i="2"/>
  <c r="L62" i="2" s="1"/>
  <c r="N62" i="2" s="1"/>
  <c r="K61" i="2"/>
  <c r="L61" i="2" s="1"/>
  <c r="P61" i="2" s="1"/>
  <c r="K60" i="2"/>
  <c r="L60" i="2" s="1"/>
  <c r="P60" i="2" s="1"/>
  <c r="K59" i="2"/>
  <c r="L59" i="2" s="1"/>
  <c r="R59" i="2" s="1"/>
  <c r="L58" i="2"/>
  <c r="P58" i="2" s="1"/>
  <c r="K57" i="2"/>
  <c r="L57" i="2" s="1"/>
  <c r="K56" i="2"/>
  <c r="L56" i="2" s="1"/>
  <c r="K55" i="2"/>
  <c r="L55" i="2" s="1"/>
  <c r="P55" i="2" s="1"/>
  <c r="R60" i="2" l="1"/>
  <c r="R55" i="2"/>
  <c r="N63" i="2"/>
  <c r="P63" i="2"/>
  <c r="P62" i="2"/>
  <c r="R62" i="2"/>
  <c r="N65" i="2"/>
  <c r="R65" i="2"/>
  <c r="P65" i="2"/>
  <c r="R58" i="2"/>
  <c r="R61" i="2"/>
  <c r="N64" i="2"/>
  <c r="N59" i="2"/>
  <c r="N60" i="2"/>
  <c r="P64" i="2"/>
  <c r="N61" i="2"/>
  <c r="N55" i="2"/>
  <c r="N58" i="2"/>
  <c r="P59" i="2"/>
  <c r="K54" i="2"/>
  <c r="L54" i="2" s="1"/>
  <c r="N54" i="2" s="1"/>
  <c r="K53" i="2"/>
  <c r="L53" i="2" s="1"/>
  <c r="K52" i="2"/>
  <c r="L52" i="2" s="1"/>
  <c r="R52" i="2" s="1"/>
  <c r="K51" i="2"/>
  <c r="L51" i="2" s="1"/>
  <c r="N51" i="2" s="1"/>
  <c r="K50" i="2"/>
  <c r="L50" i="2" s="1"/>
  <c r="R50" i="2" s="1"/>
  <c r="P54" i="2" l="1"/>
  <c r="R54" i="2"/>
  <c r="N52" i="2"/>
  <c r="P52" i="2"/>
  <c r="P53" i="2"/>
  <c r="N53" i="2"/>
  <c r="R53" i="2"/>
  <c r="N50" i="2"/>
  <c r="P51" i="2"/>
  <c r="P50" i="2"/>
  <c r="R51" i="2"/>
  <c r="K49" i="2"/>
  <c r="L49" i="2" s="1"/>
  <c r="N49" i="2" s="1"/>
  <c r="K48" i="2"/>
  <c r="L48" i="2" s="1"/>
  <c r="K47" i="2"/>
  <c r="L47" i="2" s="1"/>
  <c r="K46" i="2"/>
  <c r="L46" i="2" s="1"/>
  <c r="N46" i="2" s="1"/>
  <c r="K45" i="2"/>
  <c r="L45" i="2"/>
  <c r="R45" i="2" s="1"/>
  <c r="L42" i="2"/>
  <c r="R42" i="2" s="1"/>
  <c r="K39" i="2"/>
  <c r="L39" i="2" s="1"/>
  <c r="N39" i="2" s="1"/>
  <c r="K40" i="2"/>
  <c r="L40" i="2" s="1"/>
  <c r="K41" i="2"/>
  <c r="L41" i="2" s="1"/>
  <c r="K44" i="2"/>
  <c r="L44" i="2" s="1"/>
  <c r="P44" i="2" s="1"/>
  <c r="K38" i="2"/>
  <c r="L38" i="2" s="1"/>
  <c r="R38" i="2" s="1"/>
  <c r="N45" i="2" l="1"/>
  <c r="P49" i="2"/>
  <c r="N42" i="2"/>
  <c r="P46" i="2"/>
  <c r="R49" i="2"/>
  <c r="P42" i="2"/>
  <c r="R46" i="2"/>
  <c r="P48" i="2"/>
  <c r="N48" i="2"/>
  <c r="R48" i="2"/>
  <c r="P47" i="2"/>
  <c r="N47" i="2"/>
  <c r="R47" i="2"/>
  <c r="P39" i="2"/>
  <c r="R44" i="2"/>
  <c r="R39" i="2"/>
  <c r="P45" i="2"/>
  <c r="P38" i="2"/>
  <c r="N38" i="2"/>
  <c r="N44" i="2"/>
  <c r="K37" i="2"/>
  <c r="L37" i="2" s="1"/>
  <c r="R37" i="2" s="1"/>
  <c r="K36" i="2"/>
  <c r="L36" i="2" s="1"/>
  <c r="K35" i="2"/>
  <c r="L35" i="2" s="1"/>
  <c r="R35" i="2" s="1"/>
  <c r="K34" i="2"/>
  <c r="L34" i="2" s="1"/>
  <c r="R34" i="2" s="1"/>
  <c r="N34" i="2" l="1"/>
  <c r="P36" i="2"/>
  <c r="N36" i="2"/>
  <c r="R36" i="2"/>
  <c r="P35" i="2"/>
  <c r="N37" i="2"/>
  <c r="N35" i="2"/>
  <c r="P37" i="2"/>
  <c r="P34" i="2"/>
  <c r="K33" i="2"/>
  <c r="L33" i="2" s="1"/>
  <c r="P33" i="2" s="1"/>
  <c r="K32" i="2"/>
  <c r="L32" i="2" s="1"/>
  <c r="K31" i="2"/>
  <c r="L31" i="2" s="1"/>
  <c r="N31" i="2" s="1"/>
  <c r="K30" i="2"/>
  <c r="L30" i="2" s="1"/>
  <c r="K29" i="2"/>
  <c r="L29" i="2" s="1"/>
  <c r="K28" i="2"/>
  <c r="L28" i="2" s="1"/>
  <c r="P31" i="2" l="1"/>
  <c r="R31" i="2"/>
  <c r="R33" i="2"/>
  <c r="P32" i="2"/>
  <c r="N32" i="2"/>
  <c r="R32" i="2"/>
  <c r="N33" i="2"/>
  <c r="N29" i="2"/>
  <c r="N30" i="2"/>
  <c r="P28" i="2"/>
  <c r="R28" i="2"/>
  <c r="P29" i="2"/>
  <c r="R29" i="2"/>
  <c r="P30" i="2"/>
  <c r="R30" i="2"/>
  <c r="L27" i="2"/>
  <c r="P27" i="2" s="1"/>
  <c r="N28" i="2"/>
  <c r="L21" i="2"/>
  <c r="R21" i="2" s="1"/>
  <c r="K22" i="2"/>
  <c r="L22" i="2" s="1"/>
  <c r="K23" i="2"/>
  <c r="L23" i="2" s="1"/>
  <c r="K24" i="2"/>
  <c r="L24" i="2" s="1"/>
  <c r="K25" i="2"/>
  <c r="L25" i="2" s="1"/>
  <c r="K26" i="2"/>
  <c r="L26" i="2" s="1"/>
  <c r="K20" i="2"/>
  <c r="L20" i="2" s="1"/>
  <c r="K19" i="2"/>
  <c r="L19" i="2" s="1"/>
  <c r="K18" i="2"/>
  <c r="L18" i="2" s="1"/>
  <c r="K17" i="2"/>
  <c r="L17" i="2" s="1"/>
  <c r="R17" i="2" s="1"/>
  <c r="K16" i="2"/>
  <c r="L16" i="2" s="1"/>
  <c r="K15" i="2"/>
  <c r="L15" i="2" s="1"/>
  <c r="R15" i="2" s="1"/>
  <c r="K14" i="2"/>
  <c r="L14" i="2" s="1"/>
  <c r="P14" i="2" s="1"/>
  <c r="K13" i="2"/>
  <c r="L13" i="2" s="1"/>
  <c r="R13" i="2" s="1"/>
  <c r="K12" i="2"/>
  <c r="L12" i="2" s="1"/>
  <c r="N12" i="2" s="1"/>
  <c r="K11" i="2"/>
  <c r="L11" i="2" s="1"/>
  <c r="N11" i="2" s="1"/>
  <c r="K9" i="2"/>
  <c r="L9" i="2" s="1"/>
  <c r="K8" i="2"/>
  <c r="L8" i="2" s="1"/>
  <c r="N8" i="2" s="1"/>
  <c r="P21" i="2" l="1"/>
  <c r="N21" i="2"/>
  <c r="R16" i="2"/>
  <c r="P16" i="2"/>
  <c r="N17" i="2"/>
  <c r="R27" i="2"/>
  <c r="P17" i="2"/>
  <c r="N27" i="2"/>
  <c r="P18" i="2"/>
  <c r="N18" i="2"/>
  <c r="R18" i="2"/>
  <c r="R9" i="2"/>
  <c r="N9" i="2"/>
  <c r="P12" i="2"/>
  <c r="N16" i="2"/>
  <c r="R24" i="2"/>
  <c r="P24" i="2"/>
  <c r="N24" i="2"/>
  <c r="R23" i="2"/>
  <c r="P23" i="2"/>
  <c r="N23" i="2"/>
  <c r="N22" i="2"/>
  <c r="P22" i="2"/>
  <c r="R22" i="2"/>
  <c r="N15" i="2"/>
  <c r="R14" i="2"/>
  <c r="N14" i="2"/>
  <c r="R12" i="2"/>
  <c r="P15" i="2"/>
  <c r="P11" i="2"/>
  <c r="R11" i="2"/>
  <c r="N13" i="2"/>
  <c r="P9" i="2"/>
  <c r="P13" i="2"/>
  <c r="P8" i="2"/>
  <c r="R8" i="2"/>
  <c r="K7" i="2"/>
  <c r="L7" i="2" s="1"/>
  <c r="N7" i="2" s="1"/>
  <c r="K5" i="2"/>
  <c r="L5" i="2" s="1"/>
  <c r="K6" i="2"/>
  <c r="L6" i="2" s="1"/>
  <c r="N6" i="2" s="1"/>
  <c r="K4" i="2"/>
  <c r="L4" i="2" s="1"/>
  <c r="K3" i="2"/>
  <c r="L3" i="2" s="1"/>
  <c r="N3" i="2" s="1"/>
  <c r="K2" i="2"/>
  <c r="L2" i="2" s="1"/>
  <c r="R2" i="2" l="1"/>
  <c r="P2" i="2"/>
  <c r="N2" i="2"/>
  <c r="R4" i="2"/>
  <c r="P4" i="2"/>
  <c r="N4" i="2"/>
  <c r="R5" i="2"/>
  <c r="P5" i="2"/>
  <c r="R3" i="2"/>
  <c r="P3" i="2"/>
  <c r="R6" i="2"/>
  <c r="P6" i="2"/>
  <c r="N5" i="2"/>
  <c r="R7" i="2"/>
  <c r="P7" i="2"/>
</calcChain>
</file>

<file path=xl/sharedStrings.xml><?xml version="1.0" encoding="utf-8"?>
<sst xmlns="http://schemas.openxmlformats.org/spreadsheetml/2006/main" count="47" uniqueCount="43">
  <si>
    <t>Start Time</t>
  </si>
  <si>
    <t>End time</t>
  </si>
  <si>
    <t>Distance (km)</t>
  </si>
  <si>
    <t>Comment</t>
  </si>
  <si>
    <t>Start Lat (N)</t>
  </si>
  <si>
    <t>End Lat (N)</t>
  </si>
  <si>
    <t>Date</t>
  </si>
  <si>
    <t>Start Long (W)</t>
  </si>
  <si>
    <t>Duration (min)</t>
  </si>
  <si>
    <t>End Long (W)</t>
  </si>
  <si>
    <t>Total no. of items</t>
  </si>
  <si>
    <t>Transect 18 interrupted due to ship manoeuvre</t>
  </si>
  <si>
    <t>Continuation of interrupted Transect 18</t>
  </si>
  <si>
    <t>Summary of complete Transect 18</t>
  </si>
  <si>
    <t>Transect 22 interrupted</t>
  </si>
  <si>
    <t>Continuation of interrupted transect 22</t>
  </si>
  <si>
    <t>Summary of complete Transect 22</t>
  </si>
  <si>
    <t>Transect 35 interrupted</t>
  </si>
  <si>
    <t>Continuation of interrupted Transect 35</t>
  </si>
  <si>
    <t>Summary of complete Transect 35</t>
  </si>
  <si>
    <t>Transect 26 terminated because of station works</t>
  </si>
  <si>
    <t>Transect 39 terminated because of station works</t>
  </si>
  <si>
    <t>Transect 49 interrupted for Zodiak operation</t>
  </si>
  <si>
    <t>Continuation of interrupted Transect 49</t>
  </si>
  <si>
    <t>Summary of complete Transect 49</t>
  </si>
  <si>
    <t>Transect 56 terminated for sampling of flotsam (-&gt; Sample 78)</t>
  </si>
  <si>
    <t>Transect no.</t>
  </si>
  <si>
    <r>
      <t>Area (km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 covered (Distance * 10 m transect width)</t>
    </r>
  </si>
  <si>
    <r>
      <t>Multiplication factor for 1 km</t>
    </r>
    <r>
      <rPr>
        <b/>
        <vertAlign val="superscript"/>
        <sz val="11"/>
        <color theme="1"/>
        <rFont val="Calibri"/>
        <family val="2"/>
        <scheme val="minor"/>
      </rPr>
      <t>2</t>
    </r>
  </si>
  <si>
    <t>Total no. of seaweed clumps</t>
  </si>
  <si>
    <r>
      <t>Density of seaweeds clumps (clumps km</t>
    </r>
    <r>
      <rPr>
        <b/>
        <vertAlign val="superscript"/>
        <sz val="11"/>
        <color theme="1"/>
        <rFont val="Calibri"/>
        <family val="2"/>
        <scheme val="minor"/>
      </rPr>
      <t>-2</t>
    </r>
    <r>
      <rPr>
        <b/>
        <sz val="11"/>
        <color theme="1"/>
        <rFont val="Calibri"/>
        <family val="2"/>
        <scheme val="minor"/>
      </rPr>
      <t>)</t>
    </r>
  </si>
  <si>
    <r>
      <t>Items density (items km</t>
    </r>
    <r>
      <rPr>
        <b/>
        <vertAlign val="superscript"/>
        <sz val="11"/>
        <color theme="1"/>
        <rFont val="Calibri"/>
        <family val="2"/>
        <scheme val="minor"/>
      </rPr>
      <t>-2</t>
    </r>
    <r>
      <rPr>
        <b/>
        <sz val="11"/>
        <color theme="1"/>
        <rFont val="Calibri"/>
        <family val="2"/>
        <scheme val="minor"/>
      </rPr>
      <t>)</t>
    </r>
  </si>
  <si>
    <t>Total no. of litter items</t>
  </si>
  <si>
    <r>
      <t>Density litter items (items km</t>
    </r>
    <r>
      <rPr>
        <b/>
        <vertAlign val="superscript"/>
        <sz val="11"/>
        <color theme="1"/>
        <rFont val="Calibri"/>
        <family val="2"/>
        <scheme val="minor"/>
      </rPr>
      <t>-2</t>
    </r>
    <r>
      <rPr>
        <b/>
        <sz val="11"/>
        <color theme="1"/>
        <rFont val="Calibri"/>
        <family val="2"/>
        <scheme val="minor"/>
      </rPr>
      <t>)</t>
    </r>
  </si>
  <si>
    <t>Transect terminated immediately after start =&gt; deleted</t>
  </si>
  <si>
    <t>continued</t>
  </si>
  <si>
    <t>Speed (kn) Measurement 1</t>
  </si>
  <si>
    <t>Speed (kn) Measurement 2</t>
  </si>
  <si>
    <t>Speed (kn) Measurement 3</t>
  </si>
  <si>
    <t>Speed (kn) Measurement 4</t>
  </si>
  <si>
    <t>Speed (kn) Measurement 5</t>
  </si>
  <si>
    <t>Speed (kn) Measurement 6</t>
  </si>
  <si>
    <t>Speed (kn) Measurement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</si>
</sst>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0.00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right"/>
    </xf>
    <xf numFmtId="20" fontId="0" fillId="0" borderId="0" xfId="0" applyNumberFormat="1" applyAlignment="1">
      <alignment horizontal="right"/>
    </xf>
    <xf numFmtId="0" fontId="1" fillId="0" borderId="0" xfId="0" applyFont="1" applyAlignment="1">
      <alignment horizontal="right"/>
    </xf>
    <xf numFmtId="14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right"/>
    </xf>
    <xf numFmtId="0" fontId="0" fillId="0" borderId="0" xfId="0" applyFill="1" applyAlignment="1">
      <alignment horizontal="right"/>
    </xf>
    <xf numFmtId="0" fontId="1" fillId="0" borderId="0" xfId="0" applyFont="1" applyAlignment="1">
      <alignment horizontal="left" wrapText="1"/>
    </xf>
    <xf numFmtId="0" fontId="0" fillId="0" borderId="0" xfId="0" applyNumberFormat="1" applyAlignment="1">
      <alignment horizontal="right"/>
    </xf>
    <xf numFmtId="0" fontId="0" fillId="0" borderId="0" xfId="0" applyAlignment="1">
      <alignment horizontal="left" wrapText="1"/>
    </xf>
    <xf numFmtId="2" fontId="0" fillId="0" borderId="0" xfId="0" applyNumberFormat="1" applyFill="1" applyAlignment="1">
      <alignment horizontal="right"/>
    </xf>
    <xf numFmtId="14" fontId="0" fillId="0" borderId="0" xfId="0" applyNumberFormat="1" applyAlignment="1">
      <alignment horizontal="left"/>
    </xf>
    <xf numFmtId="0" fontId="1" fillId="0" borderId="0" xfId="0" applyFont="1" applyAlignment="1">
      <alignment horizontal="center" wrapText="1"/>
    </xf>
    <xf numFmtId="165" fontId="0" fillId="0" borderId="0" xfId="0" applyNumberFormat="1" applyAlignment="1">
      <alignment horizontal="right"/>
    </xf>
    <xf numFmtId="165" fontId="0" fillId="0" borderId="0" xfId="0" applyNumberFormat="1" applyFill="1" applyAlignment="1">
      <alignment horizontal="righ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Larissa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3"/>
  <sheetViews>
    <sheetView tabSelected="1" workbookViewId="0">
      <pane ySplit="1" topLeftCell="A2" activePane="bottomLeft" state="frozen"/>
      <selection pane="bottomLeft"/>
    </sheetView>
  </sheetViews>
  <sheetFormatPr baseColWidth="10" defaultColWidth="13.85546875" defaultRowHeight="15" x14ac:dyDescent="0.25"/>
  <cols>
    <col min="1" max="1" width="13.85546875" style="3"/>
    <col min="2" max="4" width="13.85546875" style="1" customWidth="1"/>
    <col min="5" max="5" width="13.85546875" style="10" customWidth="1"/>
    <col min="6" max="10" width="13.85546875" style="1" customWidth="1"/>
    <col min="11" max="12" width="13.85546875" style="5" customWidth="1"/>
    <col min="13" max="13" width="13.85546875" style="1" customWidth="1"/>
    <col min="14" max="14" width="14.140625" style="7" customWidth="1"/>
    <col min="15" max="18" width="13.5703125" style="7" customWidth="1"/>
    <col min="19" max="25" width="13.85546875" style="1" customWidth="1"/>
    <col min="26" max="16384" width="13.85546875" style="1"/>
  </cols>
  <sheetData>
    <row r="1" spans="1:26" s="11" customFormat="1" ht="79.5" customHeight="1" x14ac:dyDescent="0.25">
      <c r="A1" s="9" t="s">
        <v>26</v>
      </c>
      <c r="B1" s="9" t="s">
        <v>6</v>
      </c>
      <c r="C1" s="9" t="s">
        <v>0</v>
      </c>
      <c r="D1" s="9" t="s">
        <v>1</v>
      </c>
      <c r="E1" s="9" t="s">
        <v>8</v>
      </c>
      <c r="F1" s="9" t="s">
        <v>4</v>
      </c>
      <c r="G1" s="9" t="s">
        <v>7</v>
      </c>
      <c r="H1" s="9" t="s">
        <v>5</v>
      </c>
      <c r="I1" s="9" t="s">
        <v>9</v>
      </c>
      <c r="J1" s="9" t="s">
        <v>2</v>
      </c>
      <c r="K1" s="9" t="s">
        <v>27</v>
      </c>
      <c r="L1" s="9" t="s">
        <v>28</v>
      </c>
      <c r="M1" s="9" t="s">
        <v>10</v>
      </c>
      <c r="N1" s="9" t="s">
        <v>31</v>
      </c>
      <c r="O1" s="9" t="s">
        <v>29</v>
      </c>
      <c r="P1" s="9" t="s">
        <v>30</v>
      </c>
      <c r="Q1" s="9" t="s">
        <v>32</v>
      </c>
      <c r="R1" s="9" t="s">
        <v>33</v>
      </c>
      <c r="S1" s="14" t="s">
        <v>36</v>
      </c>
      <c r="T1" s="14" t="s">
        <v>37</v>
      </c>
      <c r="U1" s="14" t="s">
        <v>38</v>
      </c>
      <c r="V1" s="14" t="s">
        <v>39</v>
      </c>
      <c r="W1" s="14" t="s">
        <v>40</v>
      </c>
      <c r="X1" s="14" t="s">
        <v>41</v>
      </c>
      <c r="Y1" s="14" t="s">
        <v>42</v>
      </c>
      <c r="Z1" s="9" t="s">
        <v>3</v>
      </c>
    </row>
    <row r="2" spans="1:26" x14ac:dyDescent="0.25">
      <c r="A2" s="3">
        <v>1</v>
      </c>
      <c r="B2" s="4">
        <v>42095</v>
      </c>
      <c r="C2" s="2">
        <v>0.67847222222222225</v>
      </c>
      <c r="D2" s="2">
        <v>0.72013888888888899</v>
      </c>
      <c r="E2" s="10">
        <v>60</v>
      </c>
      <c r="F2" s="15">
        <v>32.291066666666666</v>
      </c>
      <c r="G2" s="15">
        <v>-64.63548333333334</v>
      </c>
      <c r="H2" s="15">
        <v>32.174550000000004</v>
      </c>
      <c r="I2" s="15">
        <v>-64.793166666666664</v>
      </c>
      <c r="J2" s="1">
        <v>19.68</v>
      </c>
      <c r="K2" s="5">
        <f t="shared" ref="K2:K74" si="0">J2*0.01</f>
        <v>0.1968</v>
      </c>
      <c r="L2" s="5">
        <f t="shared" ref="L2:L27" si="1">1/K2</f>
        <v>5.0813008130081299</v>
      </c>
      <c r="M2" s="7">
        <v>4</v>
      </c>
      <c r="N2" s="7">
        <f>M2*L2</f>
        <v>20.325203252032519</v>
      </c>
      <c r="O2" s="7">
        <v>0</v>
      </c>
      <c r="P2" s="7">
        <f>O2*L2</f>
        <v>0</v>
      </c>
      <c r="Q2" s="7">
        <v>4</v>
      </c>
      <c r="R2" s="7">
        <f>Q2*L2</f>
        <v>20.325203252032519</v>
      </c>
      <c r="S2">
        <v>10.1</v>
      </c>
      <c r="T2">
        <v>10.7</v>
      </c>
      <c r="U2">
        <v>10.4</v>
      </c>
      <c r="V2">
        <v>11.1</v>
      </c>
      <c r="W2">
        <v>10.199999999999999</v>
      </c>
      <c r="X2">
        <v>11</v>
      </c>
    </row>
    <row r="3" spans="1:26" x14ac:dyDescent="0.25">
      <c r="A3" s="3">
        <v>2</v>
      </c>
      <c r="B3" s="4">
        <v>42096</v>
      </c>
      <c r="C3" s="2">
        <v>0.34583333333333338</v>
      </c>
      <c r="D3" s="2">
        <v>0.38750000000000001</v>
      </c>
      <c r="E3" s="10">
        <v>60</v>
      </c>
      <c r="F3" s="15">
        <v>30.871283333333334</v>
      </c>
      <c r="G3" s="15">
        <v>-67.826999999999998</v>
      </c>
      <c r="H3" s="15">
        <v>30.784566666666667</v>
      </c>
      <c r="I3" s="15">
        <v>-68.043549999999996</v>
      </c>
      <c r="J3" s="1">
        <v>22.798999999999999</v>
      </c>
      <c r="K3" s="5">
        <f t="shared" si="0"/>
        <v>0.22799</v>
      </c>
      <c r="L3" s="5">
        <f t="shared" si="1"/>
        <v>4.3861572876003336</v>
      </c>
      <c r="M3" s="7">
        <v>13</v>
      </c>
      <c r="N3" s="7">
        <f t="shared" ref="N3:N74" si="2">M3*L3</f>
        <v>57.020044738804337</v>
      </c>
      <c r="O3" s="7">
        <v>2</v>
      </c>
      <c r="P3" s="7">
        <f t="shared" ref="P3:P24" si="3">O3*L3</f>
        <v>8.7723145752006673</v>
      </c>
      <c r="Q3" s="7">
        <v>10</v>
      </c>
      <c r="R3" s="7">
        <f t="shared" ref="R3:R24" si="4">Q3*L3</f>
        <v>43.861572876003336</v>
      </c>
      <c r="S3" s="1">
        <v>11</v>
      </c>
      <c r="T3" s="1">
        <v>11.3</v>
      </c>
      <c r="U3" s="1">
        <v>11.9</v>
      </c>
      <c r="V3" s="1">
        <v>11.8</v>
      </c>
      <c r="W3" s="1">
        <v>12.5</v>
      </c>
      <c r="X3" s="1">
        <v>12.7</v>
      </c>
      <c r="Y3"/>
      <c r="Z3" s="6"/>
    </row>
    <row r="4" spans="1:26" x14ac:dyDescent="0.25">
      <c r="A4" s="3">
        <v>3</v>
      </c>
      <c r="B4" s="4">
        <v>42096</v>
      </c>
      <c r="C4" s="2">
        <v>0.44166666666666665</v>
      </c>
      <c r="D4" s="2">
        <v>0.47638888888888892</v>
      </c>
      <c r="E4" s="10">
        <v>50</v>
      </c>
      <c r="F4" s="15">
        <v>30.671533333333333</v>
      </c>
      <c r="G4" s="15">
        <v>-68.328699999999998</v>
      </c>
      <c r="H4" s="15">
        <v>30.597650000000002</v>
      </c>
      <c r="I4" s="15">
        <v>-68.511166666666668</v>
      </c>
      <c r="J4" s="1">
        <v>19.280999999999999</v>
      </c>
      <c r="K4" s="5">
        <f t="shared" si="0"/>
        <v>0.19280999999999998</v>
      </c>
      <c r="L4" s="5">
        <f t="shared" si="1"/>
        <v>5.1864529848036929</v>
      </c>
      <c r="M4" s="7">
        <v>968</v>
      </c>
      <c r="N4" s="7">
        <f t="shared" si="2"/>
        <v>5020.486489289975</v>
      </c>
      <c r="O4" s="7">
        <v>962</v>
      </c>
      <c r="P4" s="7">
        <f t="shared" si="3"/>
        <v>4989.3677713811521</v>
      </c>
      <c r="Q4" s="7">
        <v>4</v>
      </c>
      <c r="R4" s="7">
        <f t="shared" si="4"/>
        <v>20.745811939214772</v>
      </c>
      <c r="S4">
        <v>11.4</v>
      </c>
      <c r="T4">
        <v>12.2</v>
      </c>
      <c r="U4">
        <v>12.3</v>
      </c>
      <c r="V4">
        <v>12.1</v>
      </c>
      <c r="W4">
        <v>12.5</v>
      </c>
      <c r="X4"/>
      <c r="Y4"/>
    </row>
    <row r="5" spans="1:26" x14ac:dyDescent="0.25">
      <c r="A5" s="3">
        <v>4</v>
      </c>
      <c r="B5" s="4">
        <v>42096</v>
      </c>
      <c r="C5" s="2">
        <v>0.52986111111111112</v>
      </c>
      <c r="D5" s="2">
        <v>0.57152777777777775</v>
      </c>
      <c r="E5" s="10">
        <v>60</v>
      </c>
      <c r="F5" s="15">
        <v>30.482616666666665</v>
      </c>
      <c r="G5" s="15">
        <v>-68.797783333333328</v>
      </c>
      <c r="H5" s="15">
        <v>30.389733333333332</v>
      </c>
      <c r="I5" s="15">
        <v>-69.029300000000006</v>
      </c>
      <c r="J5" s="1">
        <v>24.465</v>
      </c>
      <c r="K5" s="5">
        <f t="shared" si="0"/>
        <v>0.24465000000000001</v>
      </c>
      <c r="L5" s="5">
        <f t="shared" si="1"/>
        <v>4.0874718986306968</v>
      </c>
      <c r="M5" s="7">
        <v>248</v>
      </c>
      <c r="N5" s="7">
        <f t="shared" si="2"/>
        <v>1013.6930308604128</v>
      </c>
      <c r="O5" s="7">
        <v>240</v>
      </c>
      <c r="P5" s="7">
        <f t="shared" si="3"/>
        <v>980.99325567136725</v>
      </c>
      <c r="Q5" s="7">
        <v>7</v>
      </c>
      <c r="R5" s="7">
        <f t="shared" si="4"/>
        <v>28.612303290414879</v>
      </c>
      <c r="S5">
        <v>13.1</v>
      </c>
      <c r="T5">
        <v>13.4</v>
      </c>
      <c r="U5">
        <v>13.2</v>
      </c>
      <c r="V5">
        <v>13</v>
      </c>
      <c r="W5">
        <v>13.9</v>
      </c>
      <c r="X5"/>
      <c r="Y5"/>
    </row>
    <row r="6" spans="1:26" x14ac:dyDescent="0.25">
      <c r="A6" s="3">
        <v>5</v>
      </c>
      <c r="B6" s="4">
        <v>42096</v>
      </c>
      <c r="C6" s="2">
        <v>0.7055555555555556</v>
      </c>
      <c r="D6" s="2">
        <v>0.7284722222222223</v>
      </c>
      <c r="E6" s="10">
        <v>33</v>
      </c>
      <c r="F6" s="15">
        <v>30.092966666666666</v>
      </c>
      <c r="G6" s="15">
        <v>-69.768666666666661</v>
      </c>
      <c r="H6" s="15">
        <v>30.044016666666668</v>
      </c>
      <c r="I6" s="15">
        <v>-69.89</v>
      </c>
      <c r="J6" s="1">
        <v>12.874000000000001</v>
      </c>
      <c r="K6" s="5">
        <f t="shared" si="0"/>
        <v>0.12874000000000002</v>
      </c>
      <c r="L6" s="5">
        <f t="shared" si="1"/>
        <v>7.7675935995028729</v>
      </c>
      <c r="M6" s="7">
        <v>83</v>
      </c>
      <c r="N6" s="7">
        <f t="shared" si="2"/>
        <v>644.71026875873849</v>
      </c>
      <c r="O6" s="7">
        <v>80</v>
      </c>
      <c r="P6" s="7">
        <f t="shared" si="3"/>
        <v>621.40748796022979</v>
      </c>
      <c r="Q6" s="7">
        <v>2</v>
      </c>
      <c r="R6" s="7">
        <f t="shared" si="4"/>
        <v>15.535187199005746</v>
      </c>
      <c r="S6">
        <v>12.9</v>
      </c>
      <c r="T6">
        <v>12</v>
      </c>
      <c r="U6">
        <v>12.8</v>
      </c>
      <c r="V6"/>
      <c r="W6"/>
      <c r="X6"/>
      <c r="Y6"/>
    </row>
    <row r="7" spans="1:26" x14ac:dyDescent="0.25">
      <c r="A7" s="3">
        <v>6</v>
      </c>
      <c r="B7" s="4">
        <v>42097</v>
      </c>
      <c r="C7" s="2">
        <v>0.34236111111111112</v>
      </c>
      <c r="D7" s="2">
        <v>0.3840277777777778</v>
      </c>
      <c r="E7" s="10">
        <v>60</v>
      </c>
      <c r="F7" s="15">
        <v>29.954633333333334</v>
      </c>
      <c r="G7" s="15">
        <v>-69.865083333333331</v>
      </c>
      <c r="H7" s="15">
        <v>29.739833333333333</v>
      </c>
      <c r="I7" s="15">
        <v>-69.896799999999999</v>
      </c>
      <c r="J7" s="1">
        <v>24.064</v>
      </c>
      <c r="K7" s="5">
        <f t="shared" si="0"/>
        <v>0.24063999999999999</v>
      </c>
      <c r="L7" s="5">
        <f t="shared" si="1"/>
        <v>4.1555851063829792</v>
      </c>
      <c r="M7" s="7">
        <v>70</v>
      </c>
      <c r="N7" s="7">
        <f t="shared" si="2"/>
        <v>290.89095744680856</v>
      </c>
      <c r="O7" s="7">
        <v>62</v>
      </c>
      <c r="P7" s="7">
        <f t="shared" si="3"/>
        <v>257.64627659574472</v>
      </c>
      <c r="Q7" s="7">
        <v>8</v>
      </c>
      <c r="R7" s="7">
        <f t="shared" si="4"/>
        <v>33.244680851063833</v>
      </c>
      <c r="S7">
        <v>12.9</v>
      </c>
      <c r="T7">
        <v>13.1</v>
      </c>
      <c r="U7">
        <v>12.7</v>
      </c>
      <c r="V7">
        <v>12.3</v>
      </c>
      <c r="W7">
        <v>12.9</v>
      </c>
      <c r="X7">
        <v>13.4</v>
      </c>
      <c r="Y7">
        <v>12.3</v>
      </c>
    </row>
    <row r="8" spans="1:26" x14ac:dyDescent="0.25">
      <c r="A8" s="3">
        <v>7</v>
      </c>
      <c r="B8" s="4">
        <v>42097</v>
      </c>
      <c r="C8" s="2">
        <v>0.42430555555555555</v>
      </c>
      <c r="D8" s="2">
        <v>0.46666666666666662</v>
      </c>
      <c r="E8" s="10">
        <v>61</v>
      </c>
      <c r="F8" s="15">
        <v>29.534416666666665</v>
      </c>
      <c r="G8" s="15">
        <v>-69.926933333333338</v>
      </c>
      <c r="H8" s="15">
        <v>29.322383333333335</v>
      </c>
      <c r="I8" s="15">
        <v>-69.958233333333339</v>
      </c>
      <c r="J8" s="1">
        <v>23.754999999999999</v>
      </c>
      <c r="K8" s="5">
        <f t="shared" si="0"/>
        <v>0.23754999999999998</v>
      </c>
      <c r="L8" s="5">
        <f t="shared" si="1"/>
        <v>4.2096400757735219</v>
      </c>
      <c r="M8" s="7">
        <v>168</v>
      </c>
      <c r="N8" s="7">
        <f t="shared" si="2"/>
        <v>707.21953272995165</v>
      </c>
      <c r="O8" s="7">
        <v>159</v>
      </c>
      <c r="P8" s="7">
        <f t="shared" si="3"/>
        <v>669.33277204799003</v>
      </c>
      <c r="Q8" s="7">
        <v>9</v>
      </c>
      <c r="R8" s="7">
        <f t="shared" si="4"/>
        <v>37.886760681961697</v>
      </c>
      <c r="S8">
        <v>12.9</v>
      </c>
      <c r="T8">
        <v>13.5</v>
      </c>
      <c r="U8">
        <v>12.3</v>
      </c>
      <c r="V8">
        <v>12.5</v>
      </c>
      <c r="W8">
        <v>12.4</v>
      </c>
      <c r="X8">
        <v>12.7</v>
      </c>
      <c r="Y8">
        <v>13.5</v>
      </c>
    </row>
    <row r="9" spans="1:26" x14ac:dyDescent="0.25">
      <c r="A9" s="3">
        <v>8</v>
      </c>
      <c r="B9" s="4">
        <v>42097</v>
      </c>
      <c r="C9" s="2">
        <v>0.49374999999999997</v>
      </c>
      <c r="D9" s="2">
        <v>0.52777777777777779</v>
      </c>
      <c r="E9" s="10">
        <v>49</v>
      </c>
      <c r="F9" s="15">
        <v>29.18215</v>
      </c>
      <c r="G9" s="15">
        <v>-69.978633333333335</v>
      </c>
      <c r="H9" s="15">
        <v>29.008416666666665</v>
      </c>
      <c r="I9" s="15">
        <v>-70.007750000000001</v>
      </c>
      <c r="J9" s="1">
        <v>19.510999999999999</v>
      </c>
      <c r="K9" s="5">
        <f t="shared" si="0"/>
        <v>0.19511000000000001</v>
      </c>
      <c r="L9" s="5">
        <f t="shared" si="1"/>
        <v>5.1253139254779354</v>
      </c>
      <c r="M9" s="7">
        <v>368</v>
      </c>
      <c r="N9" s="7">
        <f t="shared" si="2"/>
        <v>1886.1155245758803</v>
      </c>
      <c r="O9" s="7">
        <v>364</v>
      </c>
      <c r="P9" s="7">
        <f t="shared" si="3"/>
        <v>1865.6142688739685</v>
      </c>
      <c r="Q9" s="7">
        <v>3</v>
      </c>
      <c r="R9" s="7">
        <f t="shared" si="4"/>
        <v>15.375941776433805</v>
      </c>
      <c r="S9">
        <v>12.9</v>
      </c>
      <c r="T9">
        <v>13</v>
      </c>
      <c r="U9">
        <v>12.7</v>
      </c>
      <c r="V9">
        <v>12.7</v>
      </c>
      <c r="W9">
        <v>13.1</v>
      </c>
      <c r="X9"/>
      <c r="Y9"/>
    </row>
    <row r="10" spans="1:26" x14ac:dyDescent="0.25">
      <c r="A10" s="3">
        <v>9</v>
      </c>
      <c r="C10" s="2"/>
      <c r="D10" s="2"/>
      <c r="F10" s="15"/>
      <c r="G10" s="15"/>
      <c r="H10" s="15"/>
      <c r="I10" s="15"/>
      <c r="M10" s="7"/>
      <c r="S10"/>
      <c r="T10"/>
      <c r="U10"/>
      <c r="V10"/>
      <c r="W10"/>
      <c r="X10"/>
      <c r="Y10"/>
      <c r="Z10" s="13" t="s">
        <v>34</v>
      </c>
    </row>
    <row r="11" spans="1:26" x14ac:dyDescent="0.25">
      <c r="A11" s="3">
        <v>10</v>
      </c>
      <c r="B11" s="4">
        <v>42098</v>
      </c>
      <c r="C11" s="2">
        <v>0.67222222222222217</v>
      </c>
      <c r="D11" s="2">
        <v>0.71388888888888891</v>
      </c>
      <c r="E11" s="10">
        <v>60</v>
      </c>
      <c r="F11" s="15">
        <v>27.548566666666666</v>
      </c>
      <c r="G11" s="15">
        <v>-69.794916666666666</v>
      </c>
      <c r="H11" s="15">
        <v>27.345916666666668</v>
      </c>
      <c r="I11" s="15">
        <v>-69.87566666666666</v>
      </c>
      <c r="J11" s="1">
        <v>23.885000000000002</v>
      </c>
      <c r="K11" s="5">
        <f t="shared" si="0"/>
        <v>0.23885000000000001</v>
      </c>
      <c r="L11" s="5">
        <f t="shared" si="1"/>
        <v>4.1867280720117224</v>
      </c>
      <c r="M11" s="7">
        <v>8647</v>
      </c>
      <c r="N11" s="7">
        <f t="shared" si="2"/>
        <v>36202.637638685366</v>
      </c>
      <c r="O11" s="7">
        <v>8643</v>
      </c>
      <c r="P11" s="7">
        <f t="shared" si="3"/>
        <v>36185.890726397316</v>
      </c>
      <c r="Q11" s="7">
        <v>4</v>
      </c>
      <c r="R11" s="7">
        <f t="shared" si="4"/>
        <v>16.746912288046889</v>
      </c>
      <c r="S11">
        <v>13.2</v>
      </c>
      <c r="T11">
        <v>13.4</v>
      </c>
      <c r="U11">
        <v>12.2</v>
      </c>
      <c r="V11">
        <v>13</v>
      </c>
      <c r="W11">
        <v>13.3</v>
      </c>
      <c r="X11">
        <v>14.1</v>
      </c>
      <c r="Y11">
        <v>13.1</v>
      </c>
    </row>
    <row r="12" spans="1:26" x14ac:dyDescent="0.25">
      <c r="A12" s="3">
        <v>11</v>
      </c>
      <c r="B12" s="4">
        <v>42099</v>
      </c>
      <c r="C12" s="2">
        <v>0.34513888888888888</v>
      </c>
      <c r="D12" s="2">
        <v>0.36388888888888887</v>
      </c>
      <c r="E12" s="10">
        <v>27</v>
      </c>
      <c r="F12" s="15">
        <v>26.105733333333333</v>
      </c>
      <c r="G12" s="15">
        <v>-69.994383333333332</v>
      </c>
      <c r="H12" s="15">
        <v>26.013583333333333</v>
      </c>
      <c r="I12" s="15">
        <v>-70.009133333333338</v>
      </c>
      <c r="J12" s="1">
        <v>10.345000000000001</v>
      </c>
      <c r="K12" s="5">
        <f t="shared" si="0"/>
        <v>0.10345000000000001</v>
      </c>
      <c r="L12" s="5">
        <f t="shared" si="1"/>
        <v>9.6665055582406954</v>
      </c>
      <c r="M12" s="7">
        <v>662</v>
      </c>
      <c r="N12" s="7">
        <f t="shared" si="2"/>
        <v>6399.2266795553405</v>
      </c>
      <c r="O12" s="7">
        <v>660</v>
      </c>
      <c r="P12" s="7">
        <f t="shared" si="3"/>
        <v>6379.8936684388591</v>
      </c>
      <c r="Q12" s="7">
        <v>2</v>
      </c>
      <c r="R12" s="7">
        <f t="shared" si="4"/>
        <v>19.333011116481391</v>
      </c>
      <c r="S12">
        <v>13.8</v>
      </c>
      <c r="T12">
        <v>13.4</v>
      </c>
      <c r="U12">
        <v>12.2</v>
      </c>
      <c r="V12"/>
      <c r="W12"/>
      <c r="X12"/>
      <c r="Y12"/>
    </row>
    <row r="13" spans="1:26" x14ac:dyDescent="0.25">
      <c r="A13" s="3">
        <v>12</v>
      </c>
      <c r="B13" s="4">
        <v>42099</v>
      </c>
      <c r="C13" s="2">
        <v>0.6020833333333333</v>
      </c>
      <c r="D13" s="2">
        <v>0.64374999999999993</v>
      </c>
      <c r="E13" s="10">
        <v>60</v>
      </c>
      <c r="F13" s="15">
        <v>25.931000000000001</v>
      </c>
      <c r="G13" s="15">
        <v>-69.943516666666667</v>
      </c>
      <c r="H13" s="15">
        <v>25.849250000000001</v>
      </c>
      <c r="I13" s="15">
        <v>-69.95526666666666</v>
      </c>
      <c r="J13" s="1">
        <v>9.1690000000000005</v>
      </c>
      <c r="K13" s="5">
        <f t="shared" si="0"/>
        <v>9.1690000000000008E-2</v>
      </c>
      <c r="L13" s="5">
        <f t="shared" si="1"/>
        <v>10.906314756243864</v>
      </c>
      <c r="M13" s="7">
        <v>2327</v>
      </c>
      <c r="N13" s="7">
        <f t="shared" si="2"/>
        <v>25378.994437779471</v>
      </c>
      <c r="O13" s="7">
        <v>2325</v>
      </c>
      <c r="P13" s="7">
        <f t="shared" si="3"/>
        <v>25357.181808266985</v>
      </c>
      <c r="Q13" s="7">
        <v>2</v>
      </c>
      <c r="R13" s="7">
        <f t="shared" si="4"/>
        <v>21.812629512487728</v>
      </c>
      <c r="S13">
        <v>5.3</v>
      </c>
      <c r="T13">
        <v>4.9000000000000004</v>
      </c>
      <c r="U13">
        <v>4.9000000000000004</v>
      </c>
      <c r="V13">
        <v>4.8</v>
      </c>
      <c r="W13">
        <v>5.2</v>
      </c>
      <c r="X13">
        <v>5.3</v>
      </c>
      <c r="Y13"/>
    </row>
    <row r="14" spans="1:26" x14ac:dyDescent="0.25">
      <c r="A14" s="3">
        <v>13</v>
      </c>
      <c r="B14" s="4">
        <v>42100</v>
      </c>
      <c r="C14" s="2">
        <v>0.3444444444444445</v>
      </c>
      <c r="D14" s="2">
        <v>0.38611111111111113</v>
      </c>
      <c r="E14" s="10">
        <v>60</v>
      </c>
      <c r="F14" s="15">
        <v>24.922433333333334</v>
      </c>
      <c r="G14" s="15">
        <v>-69.968850000000003</v>
      </c>
      <c r="H14" s="15">
        <v>24.717700000000001</v>
      </c>
      <c r="I14" s="15">
        <v>-69.986583333333328</v>
      </c>
      <c r="J14" s="1">
        <v>22.82</v>
      </c>
      <c r="K14" s="5">
        <f t="shared" si="0"/>
        <v>0.22820000000000001</v>
      </c>
      <c r="L14" s="5">
        <f t="shared" si="1"/>
        <v>4.3821209465381239</v>
      </c>
      <c r="M14" s="7">
        <v>2050</v>
      </c>
      <c r="N14" s="7">
        <f t="shared" si="2"/>
        <v>8983.3479404031532</v>
      </c>
      <c r="O14" s="7">
        <v>2046</v>
      </c>
      <c r="P14" s="7">
        <f t="shared" si="3"/>
        <v>8965.8194566170023</v>
      </c>
      <c r="Q14" s="7">
        <v>4</v>
      </c>
      <c r="R14" s="7">
        <f t="shared" si="4"/>
        <v>17.528483786152496</v>
      </c>
      <c r="S14">
        <v>12.1</v>
      </c>
      <c r="T14">
        <v>12.1</v>
      </c>
      <c r="U14">
        <v>12.3</v>
      </c>
      <c r="V14">
        <v>11.3</v>
      </c>
      <c r="W14">
        <v>12.4</v>
      </c>
      <c r="X14">
        <v>11.9</v>
      </c>
      <c r="Y14"/>
    </row>
    <row r="15" spans="1:26" x14ac:dyDescent="0.25">
      <c r="A15" s="3">
        <v>14</v>
      </c>
      <c r="B15" s="4">
        <v>42100</v>
      </c>
      <c r="C15" s="2">
        <v>0.57638888888888895</v>
      </c>
      <c r="D15" s="2">
        <v>0.61805555555555558</v>
      </c>
      <c r="E15" s="10">
        <v>60</v>
      </c>
      <c r="F15" s="15">
        <v>24.528849999999998</v>
      </c>
      <c r="G15" s="15">
        <v>-69.92786666666666</v>
      </c>
      <c r="H15" s="15">
        <v>24.488216666666666</v>
      </c>
      <c r="I15" s="15">
        <v>-69.794133333333335</v>
      </c>
      <c r="J15" s="1">
        <v>14.255000000000001</v>
      </c>
      <c r="K15" s="5">
        <f t="shared" si="0"/>
        <v>0.14255000000000001</v>
      </c>
      <c r="L15" s="5">
        <f t="shared" si="1"/>
        <v>7.0150824272185197</v>
      </c>
      <c r="M15" s="7">
        <v>19077</v>
      </c>
      <c r="N15" s="7">
        <f t="shared" si="2"/>
        <v>133826.7274640477</v>
      </c>
      <c r="O15" s="7">
        <v>19062</v>
      </c>
      <c r="P15" s="7">
        <f t="shared" si="3"/>
        <v>133721.50122763941</v>
      </c>
      <c r="Q15" s="7">
        <v>14</v>
      </c>
      <c r="R15" s="7">
        <f t="shared" si="4"/>
        <v>98.211153981059283</v>
      </c>
      <c r="S15">
        <v>11.3</v>
      </c>
      <c r="T15">
        <v>11.5</v>
      </c>
      <c r="U15">
        <v>11.2</v>
      </c>
      <c r="V15">
        <v>11.2</v>
      </c>
      <c r="W15"/>
      <c r="X15"/>
      <c r="Y15"/>
    </row>
    <row r="16" spans="1:26" x14ac:dyDescent="0.25">
      <c r="A16" s="3">
        <v>15</v>
      </c>
      <c r="B16" s="4">
        <v>42100</v>
      </c>
      <c r="C16" s="2">
        <v>0.65763888888888888</v>
      </c>
      <c r="D16" s="2">
        <v>0.69930555555555562</v>
      </c>
      <c r="E16" s="10">
        <v>60</v>
      </c>
      <c r="F16" s="15">
        <v>24.413433333333334</v>
      </c>
      <c r="G16" s="15">
        <v>-69.545333333333332</v>
      </c>
      <c r="H16" s="15">
        <v>24.348566666666667</v>
      </c>
      <c r="I16" s="15">
        <v>-69.329283333333336</v>
      </c>
      <c r="J16" s="1">
        <v>23.024000000000001</v>
      </c>
      <c r="K16" s="5">
        <f t="shared" si="0"/>
        <v>0.23024</v>
      </c>
      <c r="L16" s="5">
        <f t="shared" si="1"/>
        <v>4.3432939541348157</v>
      </c>
      <c r="M16" s="7">
        <v>11988</v>
      </c>
      <c r="N16" s="7">
        <f t="shared" si="2"/>
        <v>52067.407922168168</v>
      </c>
      <c r="O16" s="7">
        <v>11983</v>
      </c>
      <c r="P16" s="7">
        <f t="shared" si="3"/>
        <v>52045.691452397499</v>
      </c>
      <c r="Q16" s="7">
        <v>5</v>
      </c>
      <c r="R16" s="7">
        <f t="shared" si="4"/>
        <v>21.716469770674077</v>
      </c>
      <c r="S16">
        <v>12.7</v>
      </c>
      <c r="T16">
        <v>12.8</v>
      </c>
      <c r="U16">
        <v>12.1</v>
      </c>
      <c r="V16">
        <v>12.6</v>
      </c>
      <c r="W16">
        <v>11.7</v>
      </c>
      <c r="X16">
        <v>12.7</v>
      </c>
      <c r="Y16"/>
    </row>
    <row r="17" spans="1:26" x14ac:dyDescent="0.25">
      <c r="A17" s="3">
        <v>16</v>
      </c>
      <c r="B17" s="4">
        <v>42100</v>
      </c>
      <c r="C17" s="2">
        <v>0.7583333333333333</v>
      </c>
      <c r="D17" s="2">
        <v>0.79999999999999993</v>
      </c>
      <c r="E17" s="10">
        <v>60</v>
      </c>
      <c r="F17" s="15">
        <v>24.258866666666666</v>
      </c>
      <c r="G17" s="15">
        <v>-69.031450000000007</v>
      </c>
      <c r="H17" s="15">
        <v>24.193433333333335</v>
      </c>
      <c r="I17" s="15">
        <v>-68.814516666666663</v>
      </c>
      <c r="J17" s="1">
        <v>23.154</v>
      </c>
      <c r="K17" s="5">
        <f t="shared" si="0"/>
        <v>0.23154</v>
      </c>
      <c r="L17" s="5">
        <f t="shared" si="1"/>
        <v>4.3189081800120928</v>
      </c>
      <c r="M17" s="7">
        <v>1850</v>
      </c>
      <c r="N17" s="7">
        <f t="shared" si="2"/>
        <v>7989.9801330223718</v>
      </c>
      <c r="O17" s="7">
        <v>1848</v>
      </c>
      <c r="P17" s="7">
        <f t="shared" si="3"/>
        <v>7981.342316662347</v>
      </c>
      <c r="Q17" s="7">
        <v>2</v>
      </c>
      <c r="R17" s="7">
        <f t="shared" si="4"/>
        <v>8.6378163600241855</v>
      </c>
      <c r="S17">
        <v>12.4</v>
      </c>
      <c r="T17">
        <v>12.7</v>
      </c>
      <c r="U17">
        <v>12.4</v>
      </c>
      <c r="V17">
        <v>12.1</v>
      </c>
      <c r="W17">
        <v>13.6</v>
      </c>
      <c r="X17">
        <v>12.8</v>
      </c>
      <c r="Y17"/>
    </row>
    <row r="18" spans="1:26" x14ac:dyDescent="0.25">
      <c r="A18" s="3">
        <v>17</v>
      </c>
      <c r="B18" s="4">
        <v>42101</v>
      </c>
      <c r="C18" s="2">
        <v>0.41041666666666665</v>
      </c>
      <c r="D18" s="2">
        <v>0.45208333333333334</v>
      </c>
      <c r="E18" s="10">
        <v>60</v>
      </c>
      <c r="F18" s="15">
        <v>23.528300000000002</v>
      </c>
      <c r="G18" s="15">
        <v>-67.004900000000006</v>
      </c>
      <c r="H18" s="15">
        <v>23.733883333333335</v>
      </c>
      <c r="I18" s="15">
        <v>-67.004900000000006</v>
      </c>
      <c r="J18" s="1">
        <v>22.844000000000001</v>
      </c>
      <c r="K18" s="5">
        <f t="shared" si="0"/>
        <v>0.22844</v>
      </c>
      <c r="L18" s="5">
        <f t="shared" si="1"/>
        <v>4.3775170723165822</v>
      </c>
      <c r="M18" s="7">
        <v>2398</v>
      </c>
      <c r="N18" s="7">
        <f t="shared" si="2"/>
        <v>10497.285939415164</v>
      </c>
      <c r="O18" s="7">
        <v>2391</v>
      </c>
      <c r="P18" s="7">
        <f t="shared" si="3"/>
        <v>10466.643319908948</v>
      </c>
      <c r="Q18" s="7">
        <v>7</v>
      </c>
      <c r="R18" s="7">
        <f t="shared" si="4"/>
        <v>30.642619506216075</v>
      </c>
      <c r="S18">
        <v>11.8</v>
      </c>
      <c r="T18">
        <v>11.6</v>
      </c>
      <c r="U18">
        <v>11.8</v>
      </c>
      <c r="V18">
        <v>12.1</v>
      </c>
      <c r="W18">
        <v>13.4</v>
      </c>
      <c r="X18">
        <v>11.5</v>
      </c>
      <c r="Y18"/>
    </row>
    <row r="19" spans="1:26" x14ac:dyDescent="0.25">
      <c r="A19" s="3">
        <v>18</v>
      </c>
      <c r="B19" s="4">
        <v>42101</v>
      </c>
      <c r="C19" s="2">
        <v>0.67499999999999993</v>
      </c>
      <c r="D19" s="2">
        <v>0.68472222222222223</v>
      </c>
      <c r="E19" s="10">
        <v>14</v>
      </c>
      <c r="F19" s="15">
        <v>24.085716666666666</v>
      </c>
      <c r="G19" s="15">
        <v>-66.953999999999994</v>
      </c>
      <c r="H19" s="15">
        <v>24.127066666666668</v>
      </c>
      <c r="I19" s="15">
        <v>-66.949349999999995</v>
      </c>
      <c r="J19" s="1">
        <v>4.6189999999999998</v>
      </c>
      <c r="K19" s="5">
        <f t="shared" si="0"/>
        <v>4.6190000000000002E-2</v>
      </c>
      <c r="L19" s="5">
        <f t="shared" si="1"/>
        <v>21.649707728945657</v>
      </c>
      <c r="M19" s="7"/>
      <c r="S19">
        <v>11.7</v>
      </c>
      <c r="T19">
        <v>11.8</v>
      </c>
      <c r="U19">
        <v>11.8</v>
      </c>
      <c r="V19">
        <v>12</v>
      </c>
      <c r="W19">
        <v>13.2</v>
      </c>
      <c r="X19"/>
      <c r="Y19"/>
      <c r="Z19" s="6" t="s">
        <v>11</v>
      </c>
    </row>
    <row r="20" spans="1:26" x14ac:dyDescent="0.25">
      <c r="A20" s="3">
        <v>18</v>
      </c>
      <c r="B20" s="4" t="s">
        <v>35</v>
      </c>
      <c r="C20" s="2">
        <v>0.69305555555555554</v>
      </c>
      <c r="D20" s="2">
        <v>0.72499999999999998</v>
      </c>
      <c r="E20" s="10">
        <v>46</v>
      </c>
      <c r="F20" s="15">
        <v>24.108283333333333</v>
      </c>
      <c r="G20" s="15">
        <v>-66.96811666666666</v>
      </c>
      <c r="H20" s="15">
        <v>24.258099999999999</v>
      </c>
      <c r="I20" s="15">
        <v>-66.975566666666666</v>
      </c>
      <c r="J20" s="1">
        <v>16.664999999999999</v>
      </c>
      <c r="K20" s="5">
        <f t="shared" si="0"/>
        <v>0.16664999999999999</v>
      </c>
      <c r="L20" s="5">
        <f t="shared" si="1"/>
        <v>6.0006000600060005</v>
      </c>
      <c r="M20" s="7"/>
      <c r="S20"/>
      <c r="T20"/>
      <c r="U20"/>
      <c r="V20"/>
      <c r="W20"/>
      <c r="X20"/>
      <c r="Y20"/>
      <c r="Z20" s="6" t="s">
        <v>12</v>
      </c>
    </row>
    <row r="21" spans="1:26" x14ac:dyDescent="0.25">
      <c r="A21" s="3">
        <v>18</v>
      </c>
      <c r="B21" s="4"/>
      <c r="C21" s="2"/>
      <c r="D21" s="2"/>
      <c r="F21" s="15"/>
      <c r="G21" s="15"/>
      <c r="H21" s="15"/>
      <c r="I21" s="15"/>
      <c r="K21" s="5">
        <v>0.22</v>
      </c>
      <c r="L21" s="5">
        <f t="shared" si="1"/>
        <v>4.5454545454545459</v>
      </c>
      <c r="M21" s="7">
        <v>5145</v>
      </c>
      <c r="N21" s="7">
        <f t="shared" si="2"/>
        <v>23386.36363636364</v>
      </c>
      <c r="O21" s="7">
        <v>5129</v>
      </c>
      <c r="P21" s="7">
        <f t="shared" si="3"/>
        <v>23313.636363636364</v>
      </c>
      <c r="Q21" s="7">
        <v>14</v>
      </c>
      <c r="R21" s="7">
        <f t="shared" si="4"/>
        <v>63.63636363636364</v>
      </c>
      <c r="S21"/>
      <c r="T21"/>
      <c r="U21"/>
      <c r="V21"/>
      <c r="W21"/>
      <c r="X21"/>
      <c r="Y21"/>
      <c r="Z21" s="6" t="s">
        <v>13</v>
      </c>
    </row>
    <row r="22" spans="1:26" x14ac:dyDescent="0.25">
      <c r="A22" s="3">
        <v>19</v>
      </c>
      <c r="B22" s="4">
        <v>42102</v>
      </c>
      <c r="C22" s="2">
        <v>0.34375</v>
      </c>
      <c r="D22" s="2">
        <v>0.38541666666666669</v>
      </c>
      <c r="E22" s="10">
        <v>60</v>
      </c>
      <c r="F22" s="15">
        <v>25.216933333333333</v>
      </c>
      <c r="G22" s="15">
        <v>-66.892949999999999</v>
      </c>
      <c r="H22" s="15">
        <v>25.424333333333333</v>
      </c>
      <c r="I22" s="15">
        <v>-66.922216666666671</v>
      </c>
      <c r="J22" s="1">
        <v>23.233000000000001</v>
      </c>
      <c r="K22" s="5">
        <f t="shared" si="0"/>
        <v>0.23233000000000001</v>
      </c>
      <c r="L22" s="5">
        <f t="shared" si="1"/>
        <v>4.3042224422158135</v>
      </c>
      <c r="M22" s="7">
        <v>1647</v>
      </c>
      <c r="N22" s="7">
        <f t="shared" si="2"/>
        <v>7089.0543623294452</v>
      </c>
      <c r="O22" s="7">
        <v>1644</v>
      </c>
      <c r="P22" s="7">
        <f t="shared" si="3"/>
        <v>7076.1416950027979</v>
      </c>
      <c r="Q22" s="7">
        <v>3</v>
      </c>
      <c r="R22" s="7">
        <f t="shared" si="4"/>
        <v>12.912667326647441</v>
      </c>
      <c r="S22">
        <v>11.4</v>
      </c>
      <c r="T22">
        <v>11.9</v>
      </c>
      <c r="U22">
        <v>12.8</v>
      </c>
      <c r="V22">
        <v>12.8</v>
      </c>
      <c r="W22">
        <v>13</v>
      </c>
      <c r="X22">
        <v>13</v>
      </c>
      <c r="Y22"/>
    </row>
    <row r="23" spans="1:26" x14ac:dyDescent="0.25">
      <c r="A23" s="3">
        <v>20</v>
      </c>
      <c r="B23" s="4">
        <v>42102</v>
      </c>
      <c r="C23" s="2">
        <v>0.42430555555555555</v>
      </c>
      <c r="D23" s="2">
        <v>0.46597222222222223</v>
      </c>
      <c r="E23" s="10">
        <v>60</v>
      </c>
      <c r="F23" s="15">
        <v>25.616949999999999</v>
      </c>
      <c r="G23" s="15">
        <v>-66.950116666666673</v>
      </c>
      <c r="H23" s="15">
        <v>25.820383333333332</v>
      </c>
      <c r="I23" s="15">
        <v>-66.97978333333333</v>
      </c>
      <c r="J23" s="1">
        <v>22.78</v>
      </c>
      <c r="K23" s="5">
        <f t="shared" si="0"/>
        <v>0.2278</v>
      </c>
      <c r="L23" s="5">
        <f t="shared" si="1"/>
        <v>4.3898156277436344</v>
      </c>
      <c r="M23" s="7">
        <v>2789</v>
      </c>
      <c r="N23" s="7">
        <f t="shared" si="2"/>
        <v>12243.195785776996</v>
      </c>
      <c r="O23" s="7">
        <v>2781</v>
      </c>
      <c r="P23" s="7">
        <f t="shared" si="3"/>
        <v>12208.077260755048</v>
      </c>
      <c r="Q23" s="7">
        <v>7</v>
      </c>
      <c r="R23" s="7">
        <f t="shared" si="4"/>
        <v>30.728709394205442</v>
      </c>
      <c r="S23">
        <v>12.9</v>
      </c>
      <c r="T23">
        <v>12.8</v>
      </c>
      <c r="U23">
        <v>12.3</v>
      </c>
      <c r="V23">
        <v>12.5</v>
      </c>
      <c r="W23">
        <v>12.1</v>
      </c>
      <c r="X23"/>
      <c r="Y23"/>
    </row>
    <row r="24" spans="1:26" x14ac:dyDescent="0.25">
      <c r="A24" s="3">
        <v>21</v>
      </c>
      <c r="B24" s="4">
        <v>42102</v>
      </c>
      <c r="C24" s="2">
        <v>0.74583333333333324</v>
      </c>
      <c r="D24" s="2">
        <v>0.78749999999999998</v>
      </c>
      <c r="E24" s="10">
        <v>60</v>
      </c>
      <c r="F24" s="15">
        <v>26.013583333333333</v>
      </c>
      <c r="G24" s="15">
        <v>-66.931150000000002</v>
      </c>
      <c r="H24" s="15">
        <v>26.231066666666667</v>
      </c>
      <c r="I24" s="15">
        <v>-66.947299999999998</v>
      </c>
      <c r="J24" s="1">
        <v>24.22</v>
      </c>
      <c r="K24" s="5">
        <f t="shared" si="0"/>
        <v>0.2422</v>
      </c>
      <c r="L24" s="5">
        <f t="shared" si="1"/>
        <v>4.1288191577208915</v>
      </c>
      <c r="M24" s="7">
        <v>665</v>
      </c>
      <c r="N24" s="7">
        <f t="shared" si="2"/>
        <v>2745.6647398843929</v>
      </c>
      <c r="O24" s="7">
        <v>657</v>
      </c>
      <c r="P24" s="7">
        <f t="shared" si="3"/>
        <v>2712.6341866226257</v>
      </c>
      <c r="Q24" s="7">
        <v>8</v>
      </c>
      <c r="R24" s="7">
        <f t="shared" si="4"/>
        <v>33.030553261767132</v>
      </c>
      <c r="S24">
        <v>12.3</v>
      </c>
      <c r="T24">
        <v>12.6</v>
      </c>
      <c r="U24">
        <v>13.1</v>
      </c>
      <c r="V24">
        <v>13</v>
      </c>
      <c r="W24">
        <v>13.3</v>
      </c>
      <c r="X24">
        <v>13.1</v>
      </c>
      <c r="Y24"/>
    </row>
    <row r="25" spans="1:26" x14ac:dyDescent="0.25">
      <c r="A25" s="3">
        <v>22</v>
      </c>
      <c r="B25" s="4">
        <v>42103</v>
      </c>
      <c r="C25" s="2">
        <v>0.33680555555555558</v>
      </c>
      <c r="D25" s="2">
        <v>0.36458333333333331</v>
      </c>
      <c r="E25" s="10">
        <v>40</v>
      </c>
      <c r="F25" s="15">
        <v>27.601900000000001</v>
      </c>
      <c r="G25" s="15">
        <v>-66.966466666666662</v>
      </c>
      <c r="H25" s="16">
        <v>27.741683333333334</v>
      </c>
      <c r="I25" s="15">
        <v>-66.98</v>
      </c>
      <c r="J25" s="1">
        <v>15.59</v>
      </c>
      <c r="K25" s="5">
        <f t="shared" si="0"/>
        <v>0.15590000000000001</v>
      </c>
      <c r="L25" s="5">
        <f t="shared" si="1"/>
        <v>6.414368184733803</v>
      </c>
      <c r="M25" s="7"/>
      <c r="S25">
        <v>12.6</v>
      </c>
      <c r="T25">
        <v>12.2</v>
      </c>
      <c r="U25">
        <v>12.4</v>
      </c>
      <c r="V25">
        <v>12.5</v>
      </c>
      <c r="W25">
        <v>12.4</v>
      </c>
      <c r="X25">
        <v>12.5</v>
      </c>
      <c r="Y25">
        <v>12.4</v>
      </c>
      <c r="Z25" s="6" t="s">
        <v>14</v>
      </c>
    </row>
    <row r="26" spans="1:26" x14ac:dyDescent="0.25">
      <c r="A26" s="3">
        <v>22</v>
      </c>
      <c r="B26" s="4" t="s">
        <v>35</v>
      </c>
      <c r="C26" s="2">
        <v>0.36874999999999997</v>
      </c>
      <c r="D26" s="2">
        <v>0.38263888888888892</v>
      </c>
      <c r="E26" s="10">
        <v>20</v>
      </c>
      <c r="F26" s="15">
        <v>27.757349999999999</v>
      </c>
      <c r="G26" s="15">
        <v>-66.98178333333334</v>
      </c>
      <c r="H26" s="15">
        <v>27.829566666666668</v>
      </c>
      <c r="I26" s="15">
        <v>-66.988883333333334</v>
      </c>
      <c r="J26" s="1">
        <v>8.0549999999999997</v>
      </c>
      <c r="K26" s="5">
        <f t="shared" si="0"/>
        <v>8.0549999999999997E-2</v>
      </c>
      <c r="L26" s="5">
        <f t="shared" si="1"/>
        <v>12.414649286157667</v>
      </c>
      <c r="M26" s="7"/>
      <c r="S26"/>
      <c r="T26"/>
      <c r="U26"/>
      <c r="V26"/>
      <c r="W26"/>
      <c r="X26"/>
      <c r="Y26"/>
      <c r="Z26" s="6" t="s">
        <v>15</v>
      </c>
    </row>
    <row r="27" spans="1:26" x14ac:dyDescent="0.25">
      <c r="A27" s="3">
        <v>22</v>
      </c>
      <c r="B27" s="4"/>
      <c r="C27" s="2"/>
      <c r="D27" s="2"/>
      <c r="F27" s="15"/>
      <c r="G27" s="15"/>
      <c r="H27" s="15"/>
      <c r="I27" s="15"/>
      <c r="K27" s="5">
        <v>0.24</v>
      </c>
      <c r="L27" s="5">
        <f t="shared" si="1"/>
        <v>4.166666666666667</v>
      </c>
      <c r="M27" s="7">
        <v>10802</v>
      </c>
      <c r="N27" s="7">
        <f t="shared" si="2"/>
        <v>45008.333333333336</v>
      </c>
      <c r="O27" s="7">
        <v>10791</v>
      </c>
      <c r="P27" s="7">
        <f t="shared" ref="P27:P74" si="5">O27*L27</f>
        <v>44962.5</v>
      </c>
      <c r="Q27" s="7">
        <v>11</v>
      </c>
      <c r="R27" s="7">
        <f t="shared" ref="R27:R74" si="6">Q27*L27</f>
        <v>45.833333333333336</v>
      </c>
      <c r="S27"/>
      <c r="T27"/>
      <c r="U27"/>
      <c r="V27"/>
      <c r="W27"/>
      <c r="X27"/>
      <c r="Y27"/>
      <c r="Z27" s="6" t="s">
        <v>16</v>
      </c>
    </row>
    <row r="28" spans="1:26" x14ac:dyDescent="0.25">
      <c r="A28" s="3">
        <v>23</v>
      </c>
      <c r="B28" s="4">
        <v>42103</v>
      </c>
      <c r="C28" s="2">
        <v>0.65</v>
      </c>
      <c r="D28" s="2">
        <v>0.69166666666666676</v>
      </c>
      <c r="E28" s="10">
        <v>62</v>
      </c>
      <c r="F28" s="15">
        <v>28.090316666666666</v>
      </c>
      <c r="G28" s="15">
        <v>-66.909533333333329</v>
      </c>
      <c r="H28" s="15">
        <v>28.309799999999999</v>
      </c>
      <c r="I28" s="15">
        <v>-66.932383333333334</v>
      </c>
      <c r="J28" s="1">
        <v>24.491</v>
      </c>
      <c r="K28" s="5">
        <f t="shared" si="0"/>
        <v>0.24490999999999999</v>
      </c>
      <c r="L28" s="5">
        <f t="shared" ref="L28:L74" si="7">1/K28</f>
        <v>4.0831325793148503</v>
      </c>
      <c r="M28" s="7">
        <v>7728</v>
      </c>
      <c r="N28" s="7">
        <f t="shared" si="2"/>
        <v>31554.448572945163</v>
      </c>
      <c r="O28" s="7">
        <v>7710</v>
      </c>
      <c r="P28" s="7">
        <f t="shared" si="5"/>
        <v>31480.952186517497</v>
      </c>
      <c r="Q28" s="7">
        <v>19</v>
      </c>
      <c r="R28" s="7">
        <f t="shared" si="6"/>
        <v>77.579519006982153</v>
      </c>
      <c r="S28">
        <v>13.7</v>
      </c>
      <c r="T28">
        <v>14.5</v>
      </c>
      <c r="U28">
        <v>13.9</v>
      </c>
      <c r="V28">
        <v>12.9</v>
      </c>
      <c r="W28">
        <v>11.6</v>
      </c>
      <c r="X28">
        <v>12.5</v>
      </c>
      <c r="Y28"/>
    </row>
    <row r="29" spans="1:26" x14ac:dyDescent="0.25">
      <c r="A29" s="3">
        <v>24</v>
      </c>
      <c r="B29" s="4">
        <v>42103</v>
      </c>
      <c r="C29" s="2">
        <v>0.76874999999999993</v>
      </c>
      <c r="D29" s="2">
        <v>0.81041666666666667</v>
      </c>
      <c r="E29" s="10">
        <v>60</v>
      </c>
      <c r="F29" s="15">
        <v>28.708666666666666</v>
      </c>
      <c r="G29" s="15">
        <v>-66.97493333333334</v>
      </c>
      <c r="H29" s="15">
        <v>28.919250000000002</v>
      </c>
      <c r="I29" s="15">
        <v>-66.997150000000005</v>
      </c>
      <c r="J29" s="1">
        <v>23.5</v>
      </c>
      <c r="K29" s="5">
        <f t="shared" si="0"/>
        <v>0.23500000000000001</v>
      </c>
      <c r="L29" s="5">
        <f t="shared" si="7"/>
        <v>4.2553191489361701</v>
      </c>
      <c r="M29" s="7">
        <v>2953</v>
      </c>
      <c r="N29" s="7">
        <f t="shared" si="2"/>
        <v>12565.95744680851</v>
      </c>
      <c r="O29" s="7">
        <v>2930</v>
      </c>
      <c r="P29" s="7">
        <f t="shared" si="5"/>
        <v>12468.085106382978</v>
      </c>
      <c r="Q29" s="7">
        <v>23</v>
      </c>
      <c r="R29" s="7">
        <f t="shared" si="6"/>
        <v>97.872340425531917</v>
      </c>
      <c r="S29">
        <v>13.2</v>
      </c>
      <c r="T29">
        <v>13.1</v>
      </c>
      <c r="U29">
        <v>12.8</v>
      </c>
      <c r="V29">
        <v>12.4</v>
      </c>
      <c r="W29">
        <v>12.6</v>
      </c>
      <c r="X29"/>
      <c r="Y29"/>
    </row>
    <row r="30" spans="1:26" x14ac:dyDescent="0.25">
      <c r="A30" s="3">
        <v>25</v>
      </c>
      <c r="B30" s="4">
        <v>42104</v>
      </c>
      <c r="C30" s="2">
        <v>0.61388888888888882</v>
      </c>
      <c r="D30" s="2">
        <v>0.65555555555555556</v>
      </c>
      <c r="E30" s="10">
        <v>60</v>
      </c>
      <c r="F30" s="15">
        <v>30.238383333333335</v>
      </c>
      <c r="G30" s="15">
        <v>-66.899883333333335</v>
      </c>
      <c r="H30" s="15">
        <v>30.452583333333333</v>
      </c>
      <c r="I30" s="15">
        <v>-66.928483333333332</v>
      </c>
      <c r="J30" s="1">
        <v>23.959</v>
      </c>
      <c r="K30" s="5">
        <f t="shared" si="0"/>
        <v>0.23959</v>
      </c>
      <c r="L30" s="5">
        <f t="shared" si="7"/>
        <v>4.1737969030426978</v>
      </c>
      <c r="M30" s="7">
        <v>2735</v>
      </c>
      <c r="N30" s="7">
        <f t="shared" si="2"/>
        <v>11415.334529821779</v>
      </c>
      <c r="O30" s="7">
        <v>2713</v>
      </c>
      <c r="P30" s="7">
        <f t="shared" si="5"/>
        <v>11323.51099795484</v>
      </c>
      <c r="Q30" s="7">
        <v>15</v>
      </c>
      <c r="R30" s="7">
        <f t="shared" si="6"/>
        <v>62.606953545640465</v>
      </c>
      <c r="S30">
        <v>12.9</v>
      </c>
      <c r="T30">
        <v>13</v>
      </c>
      <c r="U30">
        <v>12.7</v>
      </c>
      <c r="V30">
        <v>12.5</v>
      </c>
      <c r="W30">
        <v>12.8</v>
      </c>
      <c r="X30"/>
      <c r="Y30"/>
    </row>
    <row r="31" spans="1:26" x14ac:dyDescent="0.25">
      <c r="A31" s="3">
        <v>26</v>
      </c>
      <c r="B31" s="4">
        <v>42104</v>
      </c>
      <c r="C31" s="2">
        <v>0.77569444444444446</v>
      </c>
      <c r="D31" s="2">
        <v>0.79513888888888884</v>
      </c>
      <c r="E31" s="10">
        <v>28</v>
      </c>
      <c r="F31" s="15">
        <v>30.872166666666665</v>
      </c>
      <c r="G31" s="15">
        <v>-66.987616666666668</v>
      </c>
      <c r="H31" s="15">
        <v>30.981366666666666</v>
      </c>
      <c r="I31" s="15">
        <v>-67.004099999999994</v>
      </c>
      <c r="J31" s="1">
        <v>12.234999999999999</v>
      </c>
      <c r="K31" s="5">
        <f t="shared" si="0"/>
        <v>0.12235</v>
      </c>
      <c r="L31" s="5">
        <f t="shared" si="7"/>
        <v>8.1732733959950963</v>
      </c>
      <c r="M31" s="7">
        <v>13</v>
      </c>
      <c r="N31" s="7">
        <f t="shared" si="2"/>
        <v>106.25255414793625</v>
      </c>
      <c r="O31" s="7">
        <v>9</v>
      </c>
      <c r="P31" s="7">
        <f t="shared" si="5"/>
        <v>73.559460563955867</v>
      </c>
      <c r="Q31" s="7">
        <v>4</v>
      </c>
      <c r="R31" s="7">
        <f t="shared" si="6"/>
        <v>32.693093583980385</v>
      </c>
      <c r="S31">
        <v>13.6</v>
      </c>
      <c r="T31">
        <v>14</v>
      </c>
      <c r="U31">
        <v>13.9</v>
      </c>
      <c r="V31"/>
      <c r="W31"/>
      <c r="X31"/>
      <c r="Y31"/>
    </row>
    <row r="32" spans="1:26" x14ac:dyDescent="0.25">
      <c r="A32" s="3">
        <v>27</v>
      </c>
      <c r="B32" s="4">
        <v>42105</v>
      </c>
      <c r="C32" s="2">
        <v>0.33402777777777781</v>
      </c>
      <c r="D32" s="2">
        <v>0.37638888888888888</v>
      </c>
      <c r="E32" s="10">
        <v>61</v>
      </c>
      <c r="F32" s="15">
        <v>30.997266666666668</v>
      </c>
      <c r="G32" s="15">
        <v>-66.715350000000001</v>
      </c>
      <c r="H32" s="15">
        <v>30.9971</v>
      </c>
      <c r="I32" s="15">
        <v>-66.474666666666664</v>
      </c>
      <c r="J32" s="1">
        <v>22.925000000000001</v>
      </c>
      <c r="K32" s="5">
        <f t="shared" si="0"/>
        <v>0.22925000000000001</v>
      </c>
      <c r="L32" s="5">
        <f t="shared" si="7"/>
        <v>4.3620501635768809</v>
      </c>
      <c r="M32" s="7">
        <v>86</v>
      </c>
      <c r="N32" s="7">
        <f t="shared" si="2"/>
        <v>375.13631406761175</v>
      </c>
      <c r="O32" s="7">
        <v>70</v>
      </c>
      <c r="P32" s="7">
        <f t="shared" si="5"/>
        <v>305.34351145038164</v>
      </c>
      <c r="Q32" s="7">
        <v>14</v>
      </c>
      <c r="R32" s="7">
        <f t="shared" si="6"/>
        <v>61.068702290076331</v>
      </c>
      <c r="S32">
        <v>12.8</v>
      </c>
      <c r="T32">
        <v>12.8</v>
      </c>
      <c r="U32">
        <v>10.9</v>
      </c>
      <c r="V32">
        <v>12.1</v>
      </c>
      <c r="W32">
        <v>12.3</v>
      </c>
      <c r="X32">
        <v>11.7</v>
      </c>
      <c r="Y32">
        <v>11.6</v>
      </c>
    </row>
    <row r="33" spans="1:26" x14ac:dyDescent="0.25">
      <c r="A33" s="3">
        <v>28</v>
      </c>
      <c r="B33" s="4">
        <v>42105</v>
      </c>
      <c r="C33" s="2">
        <v>0.44097222222222227</v>
      </c>
      <c r="D33" s="2">
        <v>0.4826388888888889</v>
      </c>
      <c r="E33" s="10">
        <v>60</v>
      </c>
      <c r="F33" s="15">
        <v>30.997316666666666</v>
      </c>
      <c r="G33" s="15">
        <v>-66.10423333333334</v>
      </c>
      <c r="H33" s="15">
        <v>30.997250000000001</v>
      </c>
      <c r="I33" s="15">
        <v>-65.854550000000003</v>
      </c>
      <c r="J33" s="1">
        <v>23.783000000000001</v>
      </c>
      <c r="K33" s="5">
        <f t="shared" si="0"/>
        <v>0.23783000000000001</v>
      </c>
      <c r="L33" s="5">
        <f t="shared" si="7"/>
        <v>4.2046840179960476</v>
      </c>
      <c r="M33" s="7">
        <v>399</v>
      </c>
      <c r="N33" s="7">
        <f t="shared" si="2"/>
        <v>1677.668923180423</v>
      </c>
      <c r="O33" s="7">
        <v>386</v>
      </c>
      <c r="P33" s="7">
        <f t="shared" si="5"/>
        <v>1623.0080309464745</v>
      </c>
      <c r="Q33" s="7">
        <v>13</v>
      </c>
      <c r="R33" s="7">
        <f t="shared" si="6"/>
        <v>54.660892233948616</v>
      </c>
      <c r="S33">
        <v>12.7</v>
      </c>
      <c r="T33">
        <v>12.4</v>
      </c>
      <c r="U33">
        <v>12.3</v>
      </c>
      <c r="V33">
        <v>13.6</v>
      </c>
      <c r="W33">
        <v>13</v>
      </c>
      <c r="X33">
        <v>12.8</v>
      </c>
      <c r="Y33"/>
    </row>
    <row r="34" spans="1:26" x14ac:dyDescent="0.25">
      <c r="A34" s="3">
        <v>29</v>
      </c>
      <c r="B34" s="4">
        <v>42105</v>
      </c>
      <c r="C34" s="2">
        <v>0.62708333333333333</v>
      </c>
      <c r="D34" s="2">
        <v>0.66736111111111107</v>
      </c>
      <c r="E34" s="10">
        <v>58</v>
      </c>
      <c r="F34" s="15">
        <v>30.997166666666665</v>
      </c>
      <c r="G34" s="15">
        <v>-65.005049999999997</v>
      </c>
      <c r="H34" s="15">
        <v>30.997199999999999</v>
      </c>
      <c r="I34" s="15">
        <v>-64.760949999999994</v>
      </c>
      <c r="J34" s="1">
        <v>23.251000000000001</v>
      </c>
      <c r="K34" s="5">
        <f t="shared" si="0"/>
        <v>0.23251000000000002</v>
      </c>
      <c r="L34" s="5">
        <f t="shared" si="7"/>
        <v>4.3008902842888475</v>
      </c>
      <c r="M34" s="7">
        <v>1378</v>
      </c>
      <c r="N34" s="7">
        <f t="shared" si="2"/>
        <v>5926.6268117500322</v>
      </c>
      <c r="O34" s="7">
        <v>1364</v>
      </c>
      <c r="P34" s="7">
        <f t="shared" si="5"/>
        <v>5866.4143477699881</v>
      </c>
      <c r="Q34" s="7">
        <v>14</v>
      </c>
      <c r="R34" s="7">
        <f t="shared" si="6"/>
        <v>60.212463980043864</v>
      </c>
      <c r="S34">
        <v>13.2</v>
      </c>
      <c r="T34">
        <v>13.3</v>
      </c>
      <c r="U34">
        <v>12.4</v>
      </c>
      <c r="V34">
        <v>12.8</v>
      </c>
      <c r="W34">
        <v>12.8</v>
      </c>
      <c r="X34">
        <v>12.5</v>
      </c>
      <c r="Y34"/>
      <c r="Z34" s="6" t="s">
        <v>20</v>
      </c>
    </row>
    <row r="35" spans="1:26" x14ac:dyDescent="0.25">
      <c r="A35" s="3">
        <v>30</v>
      </c>
      <c r="B35" s="4">
        <v>42106</v>
      </c>
      <c r="C35" s="2">
        <v>0.33263888888888887</v>
      </c>
      <c r="D35" s="2">
        <v>0.3743055555555555</v>
      </c>
      <c r="E35" s="10">
        <v>60</v>
      </c>
      <c r="F35" s="15">
        <v>30.660616666666666</v>
      </c>
      <c r="G35" s="16">
        <v>-64.086699999999993</v>
      </c>
      <c r="H35" s="16">
        <v>30.464333333333332</v>
      </c>
      <c r="I35" s="16">
        <v>-64.062666666666672</v>
      </c>
      <c r="J35" s="8">
        <v>21.931999999999999</v>
      </c>
      <c r="K35" s="12">
        <f t="shared" si="0"/>
        <v>0.21931999999999999</v>
      </c>
      <c r="L35" s="12">
        <f t="shared" si="7"/>
        <v>4.5595476928688674</v>
      </c>
      <c r="M35" s="7">
        <v>1400</v>
      </c>
      <c r="N35" s="7">
        <f t="shared" si="2"/>
        <v>6383.3667700164142</v>
      </c>
      <c r="O35" s="7">
        <v>1395</v>
      </c>
      <c r="P35" s="7">
        <f t="shared" si="5"/>
        <v>6360.5690315520696</v>
      </c>
      <c r="Q35" s="7">
        <v>5</v>
      </c>
      <c r="R35" s="7">
        <f t="shared" si="6"/>
        <v>22.797738464344338</v>
      </c>
      <c r="S35">
        <v>11.8</v>
      </c>
      <c r="T35">
        <v>12.4</v>
      </c>
      <c r="U35">
        <v>11.8</v>
      </c>
      <c r="V35">
        <v>11.8</v>
      </c>
      <c r="W35">
        <v>12</v>
      </c>
      <c r="X35">
        <v>11.8</v>
      </c>
      <c r="Y35"/>
    </row>
    <row r="36" spans="1:26" x14ac:dyDescent="0.25">
      <c r="A36" s="3">
        <v>31</v>
      </c>
      <c r="B36" s="4">
        <v>42106</v>
      </c>
      <c r="C36" s="2">
        <v>0.4152777777777778</v>
      </c>
      <c r="D36" s="2">
        <v>0.45694444444444443</v>
      </c>
      <c r="E36" s="10">
        <v>60</v>
      </c>
      <c r="F36" s="15">
        <v>30.276233333333334</v>
      </c>
      <c r="G36" s="16">
        <v>-64.039599999999993</v>
      </c>
      <c r="H36" s="16">
        <v>30.078883333333334</v>
      </c>
      <c r="I36" s="16">
        <v>-64.015600000000006</v>
      </c>
      <c r="J36" s="8">
        <v>22.05</v>
      </c>
      <c r="K36" s="12">
        <f t="shared" si="0"/>
        <v>0.2205</v>
      </c>
      <c r="L36" s="12">
        <f t="shared" si="7"/>
        <v>4.5351473922902494</v>
      </c>
      <c r="M36" s="7">
        <v>5302</v>
      </c>
      <c r="N36" s="7">
        <f t="shared" si="2"/>
        <v>24045.351473922903</v>
      </c>
      <c r="O36" s="7">
        <v>5285</v>
      </c>
      <c r="P36" s="7">
        <f t="shared" si="5"/>
        <v>23968.253968253968</v>
      </c>
      <c r="Q36" s="7">
        <v>17</v>
      </c>
      <c r="R36" s="7">
        <f t="shared" si="6"/>
        <v>77.097505668934247</v>
      </c>
      <c r="S36">
        <v>11.3</v>
      </c>
      <c r="T36">
        <v>11.6</v>
      </c>
      <c r="U36">
        <v>11.5</v>
      </c>
      <c r="V36">
        <v>12.7</v>
      </c>
      <c r="W36">
        <v>11.8</v>
      </c>
      <c r="X36">
        <v>12</v>
      </c>
      <c r="Y36"/>
    </row>
    <row r="37" spans="1:26" x14ac:dyDescent="0.25">
      <c r="A37" s="3">
        <v>32</v>
      </c>
      <c r="B37" s="4">
        <v>42106</v>
      </c>
      <c r="C37" s="2">
        <v>0.68819444444444444</v>
      </c>
      <c r="D37" s="2">
        <v>0.72986111111111107</v>
      </c>
      <c r="E37" s="10">
        <v>60</v>
      </c>
      <c r="F37" s="15">
        <v>29.929649999999999</v>
      </c>
      <c r="G37" s="16">
        <v>-64.063783333333333</v>
      </c>
      <c r="H37" s="16">
        <v>29.721550000000001</v>
      </c>
      <c r="I37" s="16">
        <v>-64.050083333333333</v>
      </c>
      <c r="J37" s="8">
        <v>23.161999999999999</v>
      </c>
      <c r="K37" s="12">
        <f t="shared" si="0"/>
        <v>0.23161999999999999</v>
      </c>
      <c r="L37" s="12">
        <f t="shared" si="7"/>
        <v>4.3174164579915377</v>
      </c>
      <c r="M37" s="7">
        <v>3097</v>
      </c>
      <c r="N37" s="7">
        <f t="shared" si="2"/>
        <v>13371.038770399793</v>
      </c>
      <c r="O37" s="7">
        <v>3081</v>
      </c>
      <c r="P37" s="7">
        <f t="shared" si="5"/>
        <v>13301.960107071927</v>
      </c>
      <c r="Q37" s="7">
        <v>16</v>
      </c>
      <c r="R37" s="7">
        <f t="shared" si="6"/>
        <v>69.078663327864604</v>
      </c>
      <c r="S37">
        <v>12.7</v>
      </c>
      <c r="T37">
        <v>12.3</v>
      </c>
      <c r="U37">
        <v>12.8</v>
      </c>
      <c r="V37">
        <v>12.4</v>
      </c>
      <c r="W37">
        <v>12.3</v>
      </c>
      <c r="X37">
        <v>12.5</v>
      </c>
      <c r="Y37"/>
    </row>
    <row r="38" spans="1:26" x14ac:dyDescent="0.25">
      <c r="A38" s="3">
        <v>33</v>
      </c>
      <c r="B38" s="4">
        <v>42107</v>
      </c>
      <c r="C38" s="2">
        <v>0.59652777777777777</v>
      </c>
      <c r="D38" s="2">
        <v>0.6381944444444444</v>
      </c>
      <c r="E38" s="10">
        <v>60</v>
      </c>
      <c r="F38" s="15">
        <v>27.831066666666665</v>
      </c>
      <c r="G38" s="16">
        <v>-63.91211666666667</v>
      </c>
      <c r="H38" s="16">
        <v>27.6309</v>
      </c>
      <c r="I38" s="16">
        <v>-63.934550000000002</v>
      </c>
      <c r="J38" s="8">
        <v>22.352</v>
      </c>
      <c r="K38" s="12">
        <f t="shared" si="0"/>
        <v>0.22352</v>
      </c>
      <c r="L38" s="12">
        <f t="shared" si="7"/>
        <v>4.473872584108805</v>
      </c>
      <c r="M38" s="7">
        <v>6978</v>
      </c>
      <c r="N38" s="7">
        <f t="shared" si="2"/>
        <v>31218.682891911241</v>
      </c>
      <c r="O38" s="7">
        <v>6973</v>
      </c>
      <c r="P38" s="7">
        <f t="shared" si="5"/>
        <v>31196.313528990697</v>
      </c>
      <c r="Q38" s="7">
        <v>5</v>
      </c>
      <c r="R38" s="7">
        <f t="shared" si="6"/>
        <v>22.369362920544024</v>
      </c>
      <c r="S38">
        <v>12</v>
      </c>
      <c r="T38">
        <v>12.3</v>
      </c>
      <c r="U38">
        <v>12.2</v>
      </c>
      <c r="V38">
        <v>12.2</v>
      </c>
      <c r="W38">
        <v>11.9</v>
      </c>
      <c r="X38"/>
      <c r="Y38"/>
    </row>
    <row r="39" spans="1:26" x14ac:dyDescent="0.25">
      <c r="A39" s="3">
        <v>34</v>
      </c>
      <c r="B39" s="4">
        <v>42107</v>
      </c>
      <c r="C39" s="2">
        <v>0.69305555555555554</v>
      </c>
      <c r="D39" s="2">
        <v>0.73472222222222217</v>
      </c>
      <c r="E39" s="10">
        <v>60</v>
      </c>
      <c r="F39" s="15">
        <v>27.361999999999998</v>
      </c>
      <c r="G39" s="16">
        <v>-63.964750000000002</v>
      </c>
      <c r="H39" s="16">
        <v>27.157083333333333</v>
      </c>
      <c r="I39" s="16">
        <v>-63.987916666666663</v>
      </c>
      <c r="J39" s="8">
        <v>22.885000000000002</v>
      </c>
      <c r="K39" s="12">
        <f t="shared" si="0"/>
        <v>0.22885000000000003</v>
      </c>
      <c r="L39" s="12">
        <f>1/K39</f>
        <v>4.369674459252785</v>
      </c>
      <c r="M39" s="7">
        <v>2001</v>
      </c>
      <c r="N39" s="7">
        <f t="shared" si="2"/>
        <v>8743.7185929648222</v>
      </c>
      <c r="O39" s="7">
        <v>1985</v>
      </c>
      <c r="P39" s="7">
        <f t="shared" si="5"/>
        <v>8673.8038016167775</v>
      </c>
      <c r="Q39" s="7">
        <v>16</v>
      </c>
      <c r="R39" s="7">
        <f t="shared" si="6"/>
        <v>69.91479134804456</v>
      </c>
      <c r="S39">
        <v>12.5</v>
      </c>
      <c r="T39">
        <v>12.1</v>
      </c>
      <c r="U39">
        <v>12.3</v>
      </c>
      <c r="V39">
        <v>12.4</v>
      </c>
      <c r="W39">
        <v>12.6</v>
      </c>
      <c r="X39">
        <v>12.6</v>
      </c>
      <c r="Y39"/>
    </row>
    <row r="40" spans="1:26" x14ac:dyDescent="0.25">
      <c r="A40" s="3">
        <v>35</v>
      </c>
      <c r="B40" s="4">
        <v>42108</v>
      </c>
      <c r="C40" s="2">
        <v>0.50763888888888886</v>
      </c>
      <c r="D40" s="2">
        <v>0.53055555555555556</v>
      </c>
      <c r="E40" s="10">
        <v>33</v>
      </c>
      <c r="F40" s="15">
        <v>25.938649999999999</v>
      </c>
      <c r="G40" s="16">
        <v>-63.871316666666665</v>
      </c>
      <c r="H40" s="16">
        <v>25.852483333333332</v>
      </c>
      <c r="I40" s="16">
        <v>-63.881416666666667</v>
      </c>
      <c r="J40" s="8">
        <v>9.6280000000000001</v>
      </c>
      <c r="K40" s="12">
        <f t="shared" si="0"/>
        <v>9.6280000000000004E-2</v>
      </c>
      <c r="L40" s="12">
        <f t="shared" si="7"/>
        <v>10.386373078520981</v>
      </c>
      <c r="M40" s="7"/>
      <c r="S40">
        <v>9.9</v>
      </c>
      <c r="T40">
        <v>9.4</v>
      </c>
      <c r="U40">
        <v>11.3</v>
      </c>
      <c r="V40">
        <v>10</v>
      </c>
      <c r="W40">
        <v>10.5</v>
      </c>
      <c r="X40">
        <v>10.3</v>
      </c>
      <c r="Y40">
        <v>10.4</v>
      </c>
      <c r="Z40" s="6" t="s">
        <v>17</v>
      </c>
    </row>
    <row r="41" spans="1:26" x14ac:dyDescent="0.25">
      <c r="A41" s="3">
        <v>35</v>
      </c>
      <c r="B41" s="4" t="s">
        <v>35</v>
      </c>
      <c r="C41" s="2">
        <v>0.53402777777777777</v>
      </c>
      <c r="D41" s="2">
        <v>0.55277777777777781</v>
      </c>
      <c r="E41" s="10">
        <v>27</v>
      </c>
      <c r="F41" s="15">
        <v>25.839016666666666</v>
      </c>
      <c r="G41" s="16">
        <v>-63.882466666666666</v>
      </c>
      <c r="H41" s="16">
        <v>25.763766666666665</v>
      </c>
      <c r="I41" s="16">
        <v>-63.891666666666666</v>
      </c>
      <c r="J41" s="8">
        <v>8.4120000000000008</v>
      </c>
      <c r="K41" s="12">
        <f t="shared" si="0"/>
        <v>8.4120000000000014E-2</v>
      </c>
      <c r="L41" s="12">
        <f t="shared" si="7"/>
        <v>11.887779362815024</v>
      </c>
      <c r="M41" s="7"/>
      <c r="S41"/>
      <c r="T41"/>
      <c r="U41"/>
      <c r="V41"/>
      <c r="W41"/>
      <c r="X41"/>
      <c r="Y41"/>
      <c r="Z41" s="6" t="s">
        <v>18</v>
      </c>
    </row>
    <row r="42" spans="1:26" x14ac:dyDescent="0.25">
      <c r="A42" s="3">
        <v>35</v>
      </c>
      <c r="F42" s="15"/>
      <c r="G42" s="15"/>
      <c r="H42" s="15"/>
      <c r="I42" s="15"/>
      <c r="K42" s="12">
        <v>0.18</v>
      </c>
      <c r="L42" s="12">
        <f t="shared" si="7"/>
        <v>5.5555555555555554</v>
      </c>
      <c r="M42" s="7">
        <v>3247</v>
      </c>
      <c r="N42" s="7">
        <f t="shared" si="2"/>
        <v>18038.888888888887</v>
      </c>
      <c r="O42" s="7">
        <v>3238</v>
      </c>
      <c r="P42" s="7">
        <f t="shared" si="5"/>
        <v>17988.888888888887</v>
      </c>
      <c r="Q42" s="7">
        <v>9</v>
      </c>
      <c r="R42" s="7">
        <f t="shared" si="6"/>
        <v>50</v>
      </c>
      <c r="S42"/>
      <c r="T42"/>
      <c r="U42"/>
      <c r="V42"/>
      <c r="W42"/>
      <c r="X42"/>
      <c r="Y42"/>
      <c r="Z42" s="6" t="s">
        <v>19</v>
      </c>
    </row>
    <row r="43" spans="1:26" x14ac:dyDescent="0.25">
      <c r="A43" s="3">
        <v>36</v>
      </c>
      <c r="F43" s="15"/>
      <c r="G43" s="15"/>
      <c r="H43" s="15"/>
      <c r="I43" s="15"/>
      <c r="K43" s="12"/>
      <c r="L43" s="12"/>
      <c r="M43" s="7"/>
      <c r="S43"/>
      <c r="T43"/>
      <c r="U43"/>
      <c r="V43"/>
      <c r="W43"/>
      <c r="X43"/>
      <c r="Y43"/>
      <c r="Z43" s="13" t="s">
        <v>34</v>
      </c>
    </row>
    <row r="44" spans="1:26" x14ac:dyDescent="0.25">
      <c r="A44" s="3">
        <v>37</v>
      </c>
      <c r="B44" s="4">
        <v>42108</v>
      </c>
      <c r="C44" s="2">
        <v>0.74513888888888891</v>
      </c>
      <c r="D44" s="2">
        <v>0.78680555555555554</v>
      </c>
      <c r="E44" s="10">
        <v>60</v>
      </c>
      <c r="F44" s="15">
        <v>25.268633333333334</v>
      </c>
      <c r="G44" s="15">
        <v>-63.966383333333333</v>
      </c>
      <c r="H44" s="15">
        <v>25.062999999999999</v>
      </c>
      <c r="I44" s="15">
        <v>-63.996083333333331</v>
      </c>
      <c r="J44" s="8">
        <v>23.044</v>
      </c>
      <c r="K44" s="12">
        <f t="shared" si="0"/>
        <v>0.23044000000000001</v>
      </c>
      <c r="L44" s="12">
        <f t="shared" si="7"/>
        <v>4.3395243881270611</v>
      </c>
      <c r="M44" s="7">
        <v>1856</v>
      </c>
      <c r="N44" s="7">
        <f t="shared" si="2"/>
        <v>8054.1572643638256</v>
      </c>
      <c r="O44" s="7">
        <v>1855</v>
      </c>
      <c r="P44" s="7">
        <f t="shared" si="5"/>
        <v>8049.8177399756987</v>
      </c>
      <c r="Q44" s="7">
        <v>1</v>
      </c>
      <c r="R44" s="7">
        <f t="shared" si="6"/>
        <v>4.3395243881270611</v>
      </c>
      <c r="S44">
        <v>12.7</v>
      </c>
      <c r="T44">
        <v>12.3</v>
      </c>
      <c r="U44">
        <v>12.1</v>
      </c>
      <c r="V44">
        <v>12.5</v>
      </c>
      <c r="W44">
        <v>12.6</v>
      </c>
      <c r="X44"/>
      <c r="Y44"/>
    </row>
    <row r="45" spans="1:26" x14ac:dyDescent="0.25">
      <c r="A45" s="3">
        <v>38</v>
      </c>
      <c r="B45" s="4">
        <v>42109</v>
      </c>
      <c r="C45" s="2">
        <v>0.56527777777777777</v>
      </c>
      <c r="D45" s="2">
        <v>0.60277777777777775</v>
      </c>
      <c r="E45" s="10">
        <v>54</v>
      </c>
      <c r="F45" s="15">
        <v>23.857333333333333</v>
      </c>
      <c r="G45" s="15">
        <v>-63.943649999999998</v>
      </c>
      <c r="H45" s="15">
        <v>23.676433333333332</v>
      </c>
      <c r="I45" s="15">
        <v>-63.974866666666664</v>
      </c>
      <c r="J45" s="8">
        <v>20.350999999999999</v>
      </c>
      <c r="K45" s="5">
        <f t="shared" si="0"/>
        <v>0.20351</v>
      </c>
      <c r="L45" s="5">
        <f t="shared" si="7"/>
        <v>4.9137634514274486</v>
      </c>
      <c r="M45" s="7">
        <v>2432</v>
      </c>
      <c r="N45" s="7">
        <f t="shared" si="2"/>
        <v>11950.272713871555</v>
      </c>
      <c r="O45" s="7">
        <v>2430</v>
      </c>
      <c r="P45" s="7">
        <f t="shared" si="5"/>
        <v>11940.4451869687</v>
      </c>
      <c r="Q45" s="7">
        <v>2</v>
      </c>
      <c r="R45" s="7">
        <f t="shared" si="6"/>
        <v>9.8275269028548973</v>
      </c>
      <c r="S45">
        <v>12.5</v>
      </c>
      <c r="T45">
        <v>12.4</v>
      </c>
      <c r="U45">
        <v>11.4</v>
      </c>
      <c r="V45">
        <v>12.2</v>
      </c>
      <c r="W45">
        <v>12.4</v>
      </c>
      <c r="X45"/>
      <c r="Y45"/>
    </row>
    <row r="46" spans="1:26" x14ac:dyDescent="0.25">
      <c r="A46" s="3">
        <v>39</v>
      </c>
      <c r="B46" s="4">
        <v>42110</v>
      </c>
      <c r="C46" s="2">
        <v>0.33124999999999999</v>
      </c>
      <c r="D46" s="2">
        <v>0.3527777777777778</v>
      </c>
      <c r="E46" s="10">
        <v>31</v>
      </c>
      <c r="F46" s="15">
        <v>22.905583333333333</v>
      </c>
      <c r="G46" s="15">
        <v>-63.94871666666667</v>
      </c>
      <c r="H46" s="15">
        <v>22.995616666666667</v>
      </c>
      <c r="I46" s="15">
        <v>-64.00621666666666</v>
      </c>
      <c r="J46" s="1">
        <v>11.606</v>
      </c>
      <c r="K46" s="5">
        <f t="shared" si="0"/>
        <v>0.11606</v>
      </c>
      <c r="L46" s="5">
        <f t="shared" si="7"/>
        <v>8.6162329829398594</v>
      </c>
      <c r="M46" s="7">
        <v>4212</v>
      </c>
      <c r="N46" s="7">
        <f t="shared" si="2"/>
        <v>36291.573324142686</v>
      </c>
      <c r="O46" s="7">
        <v>4209</v>
      </c>
      <c r="P46" s="7">
        <f t="shared" si="5"/>
        <v>36265.72462519387</v>
      </c>
      <c r="Q46" s="7">
        <v>2</v>
      </c>
      <c r="R46" s="7">
        <f t="shared" si="6"/>
        <v>17.232465965879719</v>
      </c>
      <c r="S46">
        <v>12.6</v>
      </c>
      <c r="T46">
        <v>12.7</v>
      </c>
      <c r="U46">
        <v>12</v>
      </c>
      <c r="V46">
        <v>10.3</v>
      </c>
      <c r="W46"/>
      <c r="X46"/>
      <c r="Y46"/>
    </row>
    <row r="47" spans="1:26" x14ac:dyDescent="0.25">
      <c r="A47" s="3">
        <v>40</v>
      </c>
      <c r="B47" s="4">
        <v>42110</v>
      </c>
      <c r="C47" s="2">
        <v>0.49722222222222223</v>
      </c>
      <c r="D47" s="2">
        <v>0.53888888888888886</v>
      </c>
      <c r="E47" s="10">
        <v>60</v>
      </c>
      <c r="F47" s="15">
        <v>22.981933333333334</v>
      </c>
      <c r="G47" s="15">
        <v>-63.893099999999997</v>
      </c>
      <c r="H47" s="15">
        <v>22.7576</v>
      </c>
      <c r="I47" s="15">
        <v>-63.945549999999997</v>
      </c>
      <c r="J47" s="1">
        <v>25.5</v>
      </c>
      <c r="K47" s="5">
        <f t="shared" si="0"/>
        <v>0.255</v>
      </c>
      <c r="L47" s="5">
        <f t="shared" si="7"/>
        <v>3.9215686274509802</v>
      </c>
      <c r="M47" s="7">
        <v>992</v>
      </c>
      <c r="N47" s="7">
        <f t="shared" si="2"/>
        <v>3890.1960784313724</v>
      </c>
      <c r="O47" s="7">
        <v>989</v>
      </c>
      <c r="P47" s="7">
        <f t="shared" si="5"/>
        <v>3878.4313725490197</v>
      </c>
      <c r="Q47" s="7">
        <v>3</v>
      </c>
      <c r="R47" s="7">
        <f t="shared" si="6"/>
        <v>11.76470588235294</v>
      </c>
      <c r="S47">
        <v>14.8</v>
      </c>
      <c r="T47">
        <v>14</v>
      </c>
      <c r="U47">
        <v>13.7</v>
      </c>
      <c r="V47">
        <v>13.5</v>
      </c>
      <c r="W47">
        <v>13.6</v>
      </c>
      <c r="X47"/>
      <c r="Y47"/>
    </row>
    <row r="48" spans="1:26" x14ac:dyDescent="0.25">
      <c r="A48" s="3">
        <v>41</v>
      </c>
      <c r="B48" s="4">
        <v>42111</v>
      </c>
      <c r="C48" s="2">
        <v>0.57291666666666663</v>
      </c>
      <c r="D48" s="2">
        <v>0.61458333333333337</v>
      </c>
      <c r="E48" s="10">
        <v>60</v>
      </c>
      <c r="F48" s="15">
        <v>22.516100000000002</v>
      </c>
      <c r="G48" s="15">
        <v>-60.910833333333336</v>
      </c>
      <c r="H48" s="15">
        <v>22.633083333333332</v>
      </c>
      <c r="I48" s="15">
        <v>-60.933366666666664</v>
      </c>
      <c r="J48" s="1">
        <v>13.202999999999999</v>
      </c>
      <c r="K48" s="5">
        <f t="shared" si="0"/>
        <v>0.13203000000000001</v>
      </c>
      <c r="L48" s="5">
        <f t="shared" si="7"/>
        <v>7.574036203893054</v>
      </c>
      <c r="M48" s="7">
        <v>425</v>
      </c>
      <c r="N48" s="7">
        <f t="shared" si="2"/>
        <v>3218.9653866545477</v>
      </c>
      <c r="O48" s="7">
        <v>414</v>
      </c>
      <c r="P48" s="7">
        <f t="shared" si="5"/>
        <v>3135.6509884117245</v>
      </c>
      <c r="Q48" s="7">
        <v>10</v>
      </c>
      <c r="R48" s="7">
        <f t="shared" si="6"/>
        <v>75.740362038930542</v>
      </c>
      <c r="S48">
        <v>6.6</v>
      </c>
      <c r="T48">
        <v>7</v>
      </c>
      <c r="U48">
        <v>7.1</v>
      </c>
      <c r="V48">
        <v>7.3</v>
      </c>
      <c r="W48"/>
      <c r="X48"/>
      <c r="Y48"/>
    </row>
    <row r="49" spans="1:26" x14ac:dyDescent="0.25">
      <c r="A49" s="3">
        <v>42</v>
      </c>
      <c r="B49" s="4">
        <v>42111</v>
      </c>
      <c r="C49" s="2">
        <v>0.65625</v>
      </c>
      <c r="D49" s="2">
        <v>0.69791666666666663</v>
      </c>
      <c r="E49" s="10">
        <v>60</v>
      </c>
      <c r="F49" s="15">
        <v>22.745249999999999</v>
      </c>
      <c r="G49" s="15">
        <v>-60.955816666666664</v>
      </c>
      <c r="H49" s="15">
        <v>22.861933333333333</v>
      </c>
      <c r="I49" s="15">
        <v>-60.977916666666665</v>
      </c>
      <c r="J49" s="1">
        <v>13.162000000000001</v>
      </c>
      <c r="K49" s="5">
        <f t="shared" si="0"/>
        <v>0.13162000000000001</v>
      </c>
      <c r="L49" s="5">
        <f t="shared" si="7"/>
        <v>7.5976295395836493</v>
      </c>
      <c r="M49" s="7">
        <v>384</v>
      </c>
      <c r="N49" s="7">
        <f t="shared" si="2"/>
        <v>2917.4897432001212</v>
      </c>
      <c r="O49" s="7">
        <v>381</v>
      </c>
      <c r="P49" s="7">
        <f t="shared" si="5"/>
        <v>2894.6968545813702</v>
      </c>
      <c r="Q49" s="7">
        <v>3</v>
      </c>
      <c r="R49" s="7">
        <f t="shared" si="6"/>
        <v>22.792888618750947</v>
      </c>
      <c r="S49">
        <v>7.1</v>
      </c>
      <c r="T49">
        <v>7.6</v>
      </c>
      <c r="U49">
        <v>7.2</v>
      </c>
      <c r="V49">
        <v>7.5</v>
      </c>
      <c r="W49">
        <v>7</v>
      </c>
      <c r="X49"/>
      <c r="Y49"/>
    </row>
    <row r="50" spans="1:26" x14ac:dyDescent="0.25">
      <c r="A50" s="3">
        <v>43</v>
      </c>
      <c r="B50" s="4">
        <v>42112</v>
      </c>
      <c r="C50" s="2">
        <v>0.33333333333333331</v>
      </c>
      <c r="D50" s="2">
        <v>0.375</v>
      </c>
      <c r="E50" s="10">
        <v>60</v>
      </c>
      <c r="F50" s="15">
        <v>23.699783333333333</v>
      </c>
      <c r="G50" s="15">
        <v>-60.970999999999997</v>
      </c>
      <c r="H50" s="15">
        <v>23.889099999999999</v>
      </c>
      <c r="I50" s="15">
        <v>-60.992800000000003</v>
      </c>
      <c r="J50" s="1">
        <v>21.152999999999999</v>
      </c>
      <c r="K50" s="5">
        <f t="shared" si="0"/>
        <v>0.21153</v>
      </c>
      <c r="L50" s="5">
        <f t="shared" si="7"/>
        <v>4.727461825745757</v>
      </c>
      <c r="M50" s="7">
        <v>1311</v>
      </c>
      <c r="N50" s="7">
        <f t="shared" si="2"/>
        <v>6197.7024535526871</v>
      </c>
      <c r="O50" s="7">
        <v>1307</v>
      </c>
      <c r="P50" s="7">
        <f t="shared" si="5"/>
        <v>6178.7926062497045</v>
      </c>
      <c r="Q50" s="7">
        <v>4</v>
      </c>
      <c r="R50" s="7">
        <f t="shared" si="6"/>
        <v>18.909847302983028</v>
      </c>
      <c r="S50">
        <v>11.5</v>
      </c>
      <c r="T50">
        <v>11.6</v>
      </c>
      <c r="U50">
        <v>11.9</v>
      </c>
      <c r="V50">
        <v>11.5</v>
      </c>
      <c r="W50">
        <v>11.5</v>
      </c>
      <c r="X50"/>
      <c r="Y50"/>
    </row>
    <row r="51" spans="1:26" x14ac:dyDescent="0.25">
      <c r="A51" s="3">
        <v>44</v>
      </c>
      <c r="B51" s="4">
        <v>42112</v>
      </c>
      <c r="C51" s="2">
        <v>0.64583333333333337</v>
      </c>
      <c r="D51" s="2">
        <v>0.6875</v>
      </c>
      <c r="E51" s="10">
        <v>60</v>
      </c>
      <c r="F51" s="15">
        <v>24.136150000000001</v>
      </c>
      <c r="G51" s="15">
        <v>-60.99563333333333</v>
      </c>
      <c r="H51" s="15">
        <v>24.330366666666666</v>
      </c>
      <c r="I51" s="15">
        <v>-60.98426666666667</v>
      </c>
      <c r="J51" s="1">
        <v>21.611999999999998</v>
      </c>
      <c r="K51" s="5">
        <f t="shared" si="0"/>
        <v>0.21611999999999998</v>
      </c>
      <c r="L51" s="5">
        <f t="shared" si="7"/>
        <v>4.627059041273367</v>
      </c>
      <c r="M51" s="7">
        <v>1199</v>
      </c>
      <c r="N51" s="7">
        <f t="shared" si="2"/>
        <v>5547.8437904867669</v>
      </c>
      <c r="O51" s="7">
        <v>1193</v>
      </c>
      <c r="P51" s="7">
        <f t="shared" si="5"/>
        <v>5520.0814362391266</v>
      </c>
      <c r="Q51" s="7">
        <v>6</v>
      </c>
      <c r="R51" s="7">
        <f t="shared" si="6"/>
        <v>27.762354247640204</v>
      </c>
      <c r="S51">
        <v>10.9</v>
      </c>
      <c r="T51">
        <v>12.1</v>
      </c>
      <c r="U51">
        <v>12.4</v>
      </c>
      <c r="V51">
        <v>12.6</v>
      </c>
      <c r="W51">
        <v>12.3</v>
      </c>
      <c r="X51"/>
      <c r="Y51"/>
      <c r="Z51" s="6" t="s">
        <v>21</v>
      </c>
    </row>
    <row r="52" spans="1:26" x14ac:dyDescent="0.25">
      <c r="A52" s="3">
        <v>45</v>
      </c>
      <c r="B52" s="4">
        <v>42112</v>
      </c>
      <c r="C52" s="2">
        <v>0.74652777777777779</v>
      </c>
      <c r="D52" s="2">
        <v>0.78819444444444453</v>
      </c>
      <c r="E52" s="10">
        <v>60</v>
      </c>
      <c r="F52" s="15">
        <v>24.543716666666668</v>
      </c>
      <c r="G52" s="15">
        <v>-60.981483333333337</v>
      </c>
      <c r="H52" s="15">
        <v>24.744233333333334</v>
      </c>
      <c r="I52" s="15">
        <v>-60.986566666666668</v>
      </c>
      <c r="J52" s="1">
        <v>22.286999999999999</v>
      </c>
      <c r="K52" s="5">
        <f t="shared" si="0"/>
        <v>0.22286999999999998</v>
      </c>
      <c r="L52" s="5">
        <f t="shared" si="7"/>
        <v>4.4869206263741201</v>
      </c>
      <c r="M52" s="7">
        <v>5172</v>
      </c>
      <c r="N52" s="7">
        <f t="shared" si="2"/>
        <v>23206.353479606951</v>
      </c>
      <c r="O52" s="7">
        <v>5168</v>
      </c>
      <c r="P52" s="7">
        <f t="shared" si="5"/>
        <v>23188.405797101452</v>
      </c>
      <c r="Q52" s="7">
        <v>3</v>
      </c>
      <c r="R52" s="7">
        <f t="shared" si="6"/>
        <v>13.46076187912236</v>
      </c>
      <c r="S52">
        <v>12.2</v>
      </c>
      <c r="T52">
        <v>12.3</v>
      </c>
      <c r="U52">
        <v>11.7</v>
      </c>
      <c r="V52">
        <v>12.5</v>
      </c>
      <c r="W52">
        <v>12.1</v>
      </c>
      <c r="X52"/>
      <c r="Y52"/>
    </row>
    <row r="53" spans="1:26" x14ac:dyDescent="0.25">
      <c r="A53" s="3">
        <v>46</v>
      </c>
      <c r="B53" s="4">
        <v>42113</v>
      </c>
      <c r="C53" s="2">
        <v>0.52847222222222223</v>
      </c>
      <c r="D53" s="2">
        <v>0.57013888888888886</v>
      </c>
      <c r="E53" s="10">
        <v>60</v>
      </c>
      <c r="F53" s="15">
        <v>26.110666666666667</v>
      </c>
      <c r="G53" s="15">
        <v>-60.997916666666669</v>
      </c>
      <c r="H53" s="15">
        <v>26.313666666666666</v>
      </c>
      <c r="I53" s="15">
        <v>-61</v>
      </c>
      <c r="J53" s="1">
        <v>22.558</v>
      </c>
      <c r="K53" s="5">
        <f t="shared" si="0"/>
        <v>0.22558</v>
      </c>
      <c r="L53" s="5">
        <f t="shared" si="7"/>
        <v>4.4330171114460502</v>
      </c>
      <c r="M53" s="7">
        <v>6527</v>
      </c>
      <c r="N53" s="7">
        <f t="shared" si="2"/>
        <v>28934.302686408369</v>
      </c>
      <c r="O53" s="7">
        <v>6506</v>
      </c>
      <c r="P53" s="7">
        <f t="shared" si="5"/>
        <v>28841.209327068002</v>
      </c>
      <c r="Q53" s="7">
        <v>21</v>
      </c>
      <c r="R53" s="7">
        <f t="shared" si="6"/>
        <v>93.093359340367059</v>
      </c>
      <c r="S53">
        <v>12.2</v>
      </c>
      <c r="T53">
        <v>12.5</v>
      </c>
      <c r="U53">
        <v>12.6</v>
      </c>
      <c r="V53">
        <v>12.6</v>
      </c>
      <c r="W53"/>
      <c r="X53"/>
      <c r="Y53"/>
    </row>
    <row r="54" spans="1:26" x14ac:dyDescent="0.25">
      <c r="A54" s="3">
        <v>47</v>
      </c>
      <c r="B54" s="4">
        <v>42113</v>
      </c>
      <c r="C54" s="2">
        <v>0.60902777777777783</v>
      </c>
      <c r="D54" s="2">
        <v>0.62986111111111109</v>
      </c>
      <c r="E54" s="10">
        <v>30</v>
      </c>
      <c r="F54" s="15">
        <v>26.500933333333332</v>
      </c>
      <c r="G54" s="15">
        <v>-61.001416666666664</v>
      </c>
      <c r="H54" s="15">
        <v>26.599116666666667</v>
      </c>
      <c r="I54" s="15">
        <v>-61.001300000000001</v>
      </c>
      <c r="J54" s="1">
        <v>10.91</v>
      </c>
      <c r="K54" s="5">
        <f t="shared" si="0"/>
        <v>0.1091</v>
      </c>
      <c r="L54" s="5">
        <f t="shared" si="7"/>
        <v>9.1659028414298813</v>
      </c>
      <c r="M54" s="7">
        <v>324</v>
      </c>
      <c r="N54" s="7">
        <f t="shared" si="2"/>
        <v>2969.7525206232817</v>
      </c>
      <c r="O54" s="7">
        <v>321</v>
      </c>
      <c r="P54" s="7">
        <f t="shared" si="5"/>
        <v>2942.2548120989918</v>
      </c>
      <c r="Q54" s="7">
        <v>3</v>
      </c>
      <c r="R54" s="7">
        <f t="shared" si="6"/>
        <v>27.497708524289642</v>
      </c>
      <c r="S54">
        <v>12</v>
      </c>
      <c r="T54">
        <v>11.8</v>
      </c>
      <c r="U54"/>
      <c r="V54"/>
      <c r="W54"/>
      <c r="X54"/>
      <c r="Y54"/>
    </row>
    <row r="55" spans="1:26" x14ac:dyDescent="0.25">
      <c r="A55" s="3">
        <v>48</v>
      </c>
      <c r="B55" s="4">
        <v>42114</v>
      </c>
      <c r="C55" s="2">
        <v>0.32708333333333334</v>
      </c>
      <c r="D55" s="2">
        <v>0.35833333333333334</v>
      </c>
      <c r="E55" s="10">
        <v>45</v>
      </c>
      <c r="F55" s="15">
        <v>27.828666666666667</v>
      </c>
      <c r="G55" s="15">
        <v>-60.996766666666666</v>
      </c>
      <c r="H55" s="15">
        <v>27.980816666666666</v>
      </c>
      <c r="I55" s="15">
        <v>-61.004566666666669</v>
      </c>
      <c r="J55" s="1">
        <v>16.923999999999999</v>
      </c>
      <c r="K55" s="5">
        <f t="shared" si="0"/>
        <v>0.16924</v>
      </c>
      <c r="L55" s="5">
        <f t="shared" si="7"/>
        <v>5.9087686126211301</v>
      </c>
      <c r="M55" s="7">
        <v>1121</v>
      </c>
      <c r="N55" s="7">
        <f t="shared" si="2"/>
        <v>6623.7296147482866</v>
      </c>
      <c r="O55" s="7">
        <v>1100</v>
      </c>
      <c r="P55" s="7">
        <f t="shared" si="5"/>
        <v>6499.6454738832426</v>
      </c>
      <c r="Q55" s="7">
        <v>21</v>
      </c>
      <c r="R55" s="7">
        <f t="shared" si="6"/>
        <v>124.08414086504374</v>
      </c>
      <c r="S55">
        <v>12.6</v>
      </c>
      <c r="T55">
        <v>12.6</v>
      </c>
      <c r="U55">
        <v>12.4</v>
      </c>
      <c r="V55"/>
      <c r="W55"/>
      <c r="X55"/>
      <c r="Y55"/>
    </row>
    <row r="56" spans="1:26" x14ac:dyDescent="0.25">
      <c r="A56" s="3">
        <v>49</v>
      </c>
      <c r="B56" s="4">
        <v>42114</v>
      </c>
      <c r="C56" s="2">
        <v>0.61249999999999993</v>
      </c>
      <c r="D56" s="2">
        <v>0.62430555555555556</v>
      </c>
      <c r="E56" s="10">
        <v>17</v>
      </c>
      <c r="F56" s="15">
        <v>28.073816666666666</v>
      </c>
      <c r="G56" s="15">
        <v>-60.860083333333336</v>
      </c>
      <c r="H56" s="15">
        <v>28.137066666666666</v>
      </c>
      <c r="I56" s="15">
        <v>-60.870083333333334</v>
      </c>
      <c r="J56" s="1">
        <v>7.0960000000000001</v>
      </c>
      <c r="K56" s="5">
        <f t="shared" si="0"/>
        <v>7.0960000000000009E-2</v>
      </c>
      <c r="L56" s="5">
        <f t="shared" si="7"/>
        <v>14.092446448703493</v>
      </c>
      <c r="M56" s="7"/>
      <c r="S56">
        <v>12.9</v>
      </c>
      <c r="T56">
        <v>13.1</v>
      </c>
      <c r="U56">
        <v>13.3</v>
      </c>
      <c r="V56">
        <v>13.8</v>
      </c>
      <c r="W56"/>
      <c r="X56"/>
      <c r="Y56"/>
      <c r="Z56" s="6" t="s">
        <v>22</v>
      </c>
    </row>
    <row r="57" spans="1:26" x14ac:dyDescent="0.25">
      <c r="A57" s="3">
        <v>49</v>
      </c>
      <c r="B57" s="1" t="s">
        <v>35</v>
      </c>
      <c r="C57" s="2">
        <v>0.65972222222222221</v>
      </c>
      <c r="D57" s="2">
        <v>0.68958333333333333</v>
      </c>
      <c r="E57" s="10">
        <v>43</v>
      </c>
      <c r="F57" s="15">
        <v>28.140233333333335</v>
      </c>
      <c r="G57" s="15">
        <v>-60.861866666666664</v>
      </c>
      <c r="H57" s="15">
        <v>28.284649999999999</v>
      </c>
      <c r="I57" s="15">
        <v>-60.870883333333332</v>
      </c>
      <c r="J57" s="1">
        <v>16.071999999999999</v>
      </c>
      <c r="K57" s="5">
        <f t="shared" si="0"/>
        <v>0.16072</v>
      </c>
      <c r="L57" s="5">
        <f t="shared" si="7"/>
        <v>6.2220009955201592</v>
      </c>
      <c r="M57" s="7"/>
      <c r="S57"/>
      <c r="T57"/>
      <c r="U57"/>
      <c r="V57"/>
      <c r="W57"/>
      <c r="X57"/>
      <c r="Y57"/>
      <c r="Z57" s="6" t="s">
        <v>23</v>
      </c>
    </row>
    <row r="58" spans="1:26" x14ac:dyDescent="0.25">
      <c r="A58" s="3">
        <v>49</v>
      </c>
      <c r="E58" s="10">
        <v>60</v>
      </c>
      <c r="F58" s="15"/>
      <c r="G58" s="15"/>
      <c r="H58" s="15"/>
      <c r="I58" s="15"/>
      <c r="K58" s="5">
        <v>0.23</v>
      </c>
      <c r="L58" s="5">
        <f t="shared" si="7"/>
        <v>4.3478260869565215</v>
      </c>
      <c r="M58" s="7">
        <v>8735</v>
      </c>
      <c r="N58" s="7">
        <f t="shared" si="2"/>
        <v>37978.260869565216</v>
      </c>
      <c r="O58" s="7">
        <v>8719</v>
      </c>
      <c r="P58" s="7">
        <f t="shared" si="5"/>
        <v>37908.695652173912</v>
      </c>
      <c r="Q58" s="7">
        <v>16</v>
      </c>
      <c r="R58" s="7">
        <f t="shared" si="6"/>
        <v>69.565217391304344</v>
      </c>
      <c r="S58"/>
      <c r="T58"/>
      <c r="U58"/>
      <c r="V58"/>
      <c r="W58"/>
      <c r="X58"/>
      <c r="Y58"/>
      <c r="Z58" s="6" t="s">
        <v>24</v>
      </c>
    </row>
    <row r="59" spans="1:26" x14ac:dyDescent="0.25">
      <c r="A59" s="3">
        <v>50</v>
      </c>
      <c r="B59" s="4">
        <v>42114</v>
      </c>
      <c r="C59" s="2">
        <v>0.74722222222222223</v>
      </c>
      <c r="D59" s="2">
        <v>0.78888888888888886</v>
      </c>
      <c r="E59" s="10">
        <v>60</v>
      </c>
      <c r="F59" s="15">
        <v>28.574316666666668</v>
      </c>
      <c r="G59" s="15">
        <v>-60.925466666666665</v>
      </c>
      <c r="H59" s="15">
        <v>28.791516666666666</v>
      </c>
      <c r="I59" s="15">
        <v>-60.966050000000003</v>
      </c>
      <c r="J59" s="1">
        <v>24.457000000000001</v>
      </c>
      <c r="K59" s="5">
        <f t="shared" si="0"/>
        <v>0.24457000000000001</v>
      </c>
      <c r="L59" s="5">
        <f t="shared" si="7"/>
        <v>4.0888089299587032</v>
      </c>
      <c r="M59" s="7">
        <v>5095</v>
      </c>
      <c r="N59" s="7">
        <f t="shared" si="2"/>
        <v>20832.481498139594</v>
      </c>
      <c r="O59" s="7">
        <v>5074</v>
      </c>
      <c r="P59" s="7">
        <f t="shared" si="5"/>
        <v>20746.61651061046</v>
      </c>
      <c r="Q59" s="7">
        <v>21</v>
      </c>
      <c r="R59" s="7">
        <f t="shared" si="6"/>
        <v>85.864987529132762</v>
      </c>
      <c r="S59">
        <v>13.3</v>
      </c>
      <c r="T59">
        <v>12.6</v>
      </c>
      <c r="U59">
        <v>13.3</v>
      </c>
      <c r="V59">
        <v>14.7</v>
      </c>
      <c r="W59">
        <v>13.7</v>
      </c>
      <c r="X59">
        <v>13.6</v>
      </c>
      <c r="Y59"/>
    </row>
    <row r="60" spans="1:26" x14ac:dyDescent="0.25">
      <c r="A60" s="3">
        <v>51</v>
      </c>
      <c r="B60" s="4">
        <v>42115</v>
      </c>
      <c r="C60" s="2">
        <v>0.53263888888888888</v>
      </c>
      <c r="D60" s="2">
        <v>0.57430555555555551</v>
      </c>
      <c r="E60" s="10">
        <v>60</v>
      </c>
      <c r="F60" s="15">
        <v>29.912266666666667</v>
      </c>
      <c r="G60" s="15">
        <v>-60.934249999999999</v>
      </c>
      <c r="H60" s="15">
        <v>30.121083333333335</v>
      </c>
      <c r="I60" s="15">
        <v>-60.947766666666666</v>
      </c>
      <c r="J60" s="1">
        <v>23.24</v>
      </c>
      <c r="K60" s="5">
        <f t="shared" si="0"/>
        <v>0.2324</v>
      </c>
      <c r="L60" s="5">
        <f t="shared" si="7"/>
        <v>4.3029259896729775</v>
      </c>
      <c r="M60" s="7">
        <v>119</v>
      </c>
      <c r="N60" s="7">
        <f t="shared" si="2"/>
        <v>512.04819277108436</v>
      </c>
      <c r="O60" s="7">
        <v>116</v>
      </c>
      <c r="P60" s="7">
        <f t="shared" si="5"/>
        <v>499.1394148020654</v>
      </c>
      <c r="Q60" s="7">
        <v>3</v>
      </c>
      <c r="R60" s="7">
        <f t="shared" si="6"/>
        <v>12.908777969018931</v>
      </c>
      <c r="S60">
        <v>13</v>
      </c>
      <c r="T60">
        <v>12.9</v>
      </c>
      <c r="U60">
        <v>12.9</v>
      </c>
      <c r="V60">
        <v>13.1</v>
      </c>
      <c r="W60">
        <v>13.2</v>
      </c>
      <c r="X60"/>
      <c r="Y60"/>
    </row>
    <row r="61" spans="1:26" x14ac:dyDescent="0.25">
      <c r="A61" s="3">
        <v>52</v>
      </c>
      <c r="B61" s="4">
        <v>42115</v>
      </c>
      <c r="C61" s="2">
        <v>0.62916666666666665</v>
      </c>
      <c r="D61" s="2">
        <v>0.67083333333333339</v>
      </c>
      <c r="E61" s="10">
        <v>60</v>
      </c>
      <c r="F61" s="15">
        <v>30.396100000000001</v>
      </c>
      <c r="G61" s="15">
        <v>-60.965866666666663</v>
      </c>
      <c r="H61" s="15">
        <v>30.600383333333333</v>
      </c>
      <c r="I61" s="15">
        <v>-60.97925</v>
      </c>
      <c r="J61" s="1">
        <v>22.736000000000001</v>
      </c>
      <c r="K61" s="5">
        <f t="shared" si="0"/>
        <v>0.22736000000000001</v>
      </c>
      <c r="L61" s="5">
        <f t="shared" si="7"/>
        <v>4.3983110485573542</v>
      </c>
      <c r="M61" s="7">
        <v>11</v>
      </c>
      <c r="N61" s="7">
        <f t="shared" si="2"/>
        <v>48.381421534130894</v>
      </c>
      <c r="O61" s="7">
        <v>4</v>
      </c>
      <c r="P61" s="7">
        <f t="shared" si="5"/>
        <v>17.593244194229417</v>
      </c>
      <c r="Q61" s="7">
        <v>7</v>
      </c>
      <c r="R61" s="7">
        <f t="shared" si="6"/>
        <v>30.78817733990148</v>
      </c>
      <c r="S61">
        <v>12.9</v>
      </c>
      <c r="T61">
        <v>12.6</v>
      </c>
      <c r="U61">
        <v>12.3</v>
      </c>
      <c r="V61">
        <v>12.3</v>
      </c>
      <c r="W61">
        <v>12</v>
      </c>
      <c r="X61"/>
      <c r="Y61"/>
    </row>
    <row r="62" spans="1:26" x14ac:dyDescent="0.25">
      <c r="A62" s="3">
        <v>53</v>
      </c>
      <c r="B62" s="4">
        <v>42116</v>
      </c>
      <c r="C62" s="2">
        <v>0.3347222222222222</v>
      </c>
      <c r="D62" s="2">
        <v>0.37638888888888888</v>
      </c>
      <c r="E62" s="10">
        <v>60</v>
      </c>
      <c r="F62" s="15">
        <v>30.902699999999999</v>
      </c>
      <c r="G62" s="15">
        <v>-59.93953333333333</v>
      </c>
      <c r="H62" s="15">
        <v>30.915016666666666</v>
      </c>
      <c r="I62" s="15">
        <v>-59.694450000000003</v>
      </c>
      <c r="J62" s="1">
        <v>23.405999999999999</v>
      </c>
      <c r="K62" s="5">
        <f t="shared" si="0"/>
        <v>0.23405999999999999</v>
      </c>
      <c r="L62" s="5">
        <f t="shared" si="7"/>
        <v>4.2724087840724598</v>
      </c>
      <c r="M62" s="7">
        <v>628</v>
      </c>
      <c r="N62" s="7">
        <f t="shared" si="2"/>
        <v>2683.0727163975048</v>
      </c>
      <c r="O62" s="7">
        <v>598</v>
      </c>
      <c r="P62" s="7">
        <f t="shared" si="5"/>
        <v>2554.9004528753308</v>
      </c>
      <c r="Q62" s="7">
        <v>30</v>
      </c>
      <c r="R62" s="7">
        <f t="shared" si="6"/>
        <v>128.17226352217381</v>
      </c>
      <c r="S62">
        <v>12.8</v>
      </c>
      <c r="T62">
        <v>12.4</v>
      </c>
      <c r="U62">
        <v>12.6</v>
      </c>
      <c r="V62">
        <v>12.6</v>
      </c>
      <c r="W62">
        <v>12.5</v>
      </c>
      <c r="X62">
        <v>12.7</v>
      </c>
      <c r="Y62"/>
    </row>
    <row r="63" spans="1:26" x14ac:dyDescent="0.25">
      <c r="A63" s="3">
        <v>54</v>
      </c>
      <c r="B63" s="4">
        <v>42116</v>
      </c>
      <c r="C63" s="2">
        <v>0.41805555555555557</v>
      </c>
      <c r="D63" s="2">
        <v>0.4597222222222222</v>
      </c>
      <c r="E63" s="10">
        <v>60</v>
      </c>
      <c r="F63" s="15">
        <v>30.9251</v>
      </c>
      <c r="G63" s="15">
        <v>-59.491016666666667</v>
      </c>
      <c r="H63" s="15">
        <v>30.937733333333334</v>
      </c>
      <c r="I63" s="15">
        <v>-59.300183333333337</v>
      </c>
      <c r="J63" s="1">
        <v>18.244</v>
      </c>
      <c r="K63" s="5">
        <f t="shared" si="0"/>
        <v>0.18243999999999999</v>
      </c>
      <c r="L63" s="5">
        <f t="shared" si="7"/>
        <v>5.4812541109405837</v>
      </c>
      <c r="M63" s="7">
        <v>91</v>
      </c>
      <c r="N63" s="7">
        <f t="shared" si="2"/>
        <v>498.79412409559313</v>
      </c>
      <c r="O63" s="7">
        <v>73</v>
      </c>
      <c r="P63" s="7">
        <f t="shared" si="5"/>
        <v>400.13155009866261</v>
      </c>
      <c r="Q63" s="7">
        <v>18</v>
      </c>
      <c r="R63" s="7">
        <f t="shared" si="6"/>
        <v>98.662573996930504</v>
      </c>
      <c r="S63">
        <v>9.5</v>
      </c>
      <c r="T63">
        <v>10.4</v>
      </c>
      <c r="U63">
        <v>9.6999999999999993</v>
      </c>
      <c r="V63">
        <v>9.1999999999999993</v>
      </c>
      <c r="W63">
        <v>9.8000000000000007</v>
      </c>
      <c r="X63"/>
      <c r="Y63"/>
    </row>
    <row r="64" spans="1:26" x14ac:dyDescent="0.25">
      <c r="A64" s="3">
        <v>55</v>
      </c>
      <c r="B64" s="4">
        <v>42116</v>
      </c>
      <c r="C64" s="2">
        <v>0.50138888888888888</v>
      </c>
      <c r="D64" s="2">
        <v>0.53888888888888886</v>
      </c>
      <c r="E64" s="10">
        <v>54</v>
      </c>
      <c r="F64" s="15">
        <v>30.943816666666667</v>
      </c>
      <c r="G64" s="15">
        <v>-59.107066666666668</v>
      </c>
      <c r="H64" s="15">
        <v>30.952316666666668</v>
      </c>
      <c r="I64" s="15">
        <v>-58.932816666666668</v>
      </c>
      <c r="J64" s="1">
        <v>16.632999999999999</v>
      </c>
      <c r="K64" s="5">
        <f t="shared" si="0"/>
        <v>0.16633000000000001</v>
      </c>
      <c r="L64" s="5">
        <f t="shared" si="7"/>
        <v>6.0121445319545481</v>
      </c>
      <c r="M64" s="7">
        <v>315</v>
      </c>
      <c r="N64" s="7">
        <f t="shared" si="2"/>
        <v>1893.8255275656827</v>
      </c>
      <c r="O64" s="7">
        <v>287</v>
      </c>
      <c r="P64" s="7">
        <f t="shared" si="5"/>
        <v>1725.4854806709552</v>
      </c>
      <c r="Q64" s="7">
        <v>28</v>
      </c>
      <c r="R64" s="7">
        <f t="shared" si="6"/>
        <v>168.34004689472735</v>
      </c>
      <c r="S64">
        <v>10</v>
      </c>
      <c r="T64">
        <v>9.9</v>
      </c>
      <c r="U64">
        <v>10.6</v>
      </c>
      <c r="V64">
        <v>10.1</v>
      </c>
      <c r="W64">
        <v>10.3</v>
      </c>
      <c r="X64"/>
      <c r="Y64"/>
    </row>
    <row r="65" spans="1:26" x14ac:dyDescent="0.25">
      <c r="A65" s="3">
        <v>56</v>
      </c>
      <c r="B65" s="4">
        <v>42116</v>
      </c>
      <c r="C65" s="2">
        <v>0.62847222222222221</v>
      </c>
      <c r="D65" s="2">
        <v>0.65069444444444446</v>
      </c>
      <c r="E65" s="10">
        <v>32</v>
      </c>
      <c r="F65" s="15">
        <v>30.972083333333334</v>
      </c>
      <c r="G65" s="15">
        <v>-58.525483333333334</v>
      </c>
      <c r="H65" s="15">
        <v>30.977366666666668</v>
      </c>
      <c r="I65" s="15">
        <v>-58.424250000000001</v>
      </c>
      <c r="J65" s="1">
        <v>9.6630000000000003</v>
      </c>
      <c r="K65" s="5">
        <f t="shared" si="0"/>
        <v>9.6630000000000008E-2</v>
      </c>
      <c r="L65" s="5">
        <f t="shared" si="7"/>
        <v>10.34875297526648</v>
      </c>
      <c r="M65" s="7">
        <v>94</v>
      </c>
      <c r="N65" s="7">
        <f t="shared" si="2"/>
        <v>972.78277967504914</v>
      </c>
      <c r="O65" s="7">
        <v>82</v>
      </c>
      <c r="P65" s="7">
        <f t="shared" si="5"/>
        <v>848.5977439718514</v>
      </c>
      <c r="Q65" s="7">
        <v>12</v>
      </c>
      <c r="R65" s="7">
        <f t="shared" si="6"/>
        <v>124.18503570319777</v>
      </c>
      <c r="S65">
        <v>9.4</v>
      </c>
      <c r="T65">
        <v>10.1</v>
      </c>
      <c r="U65"/>
      <c r="V65"/>
      <c r="W65"/>
      <c r="X65"/>
      <c r="Y65"/>
    </row>
    <row r="66" spans="1:26" x14ac:dyDescent="0.25">
      <c r="A66" s="3">
        <v>57</v>
      </c>
      <c r="B66" s="4">
        <v>42117</v>
      </c>
      <c r="C66" s="2">
        <v>0.62152777777777779</v>
      </c>
      <c r="D66" s="2">
        <v>0.66388888888888886</v>
      </c>
      <c r="E66" s="10">
        <v>61</v>
      </c>
      <c r="F66" s="15">
        <v>29.886050000000001</v>
      </c>
      <c r="G66" s="15">
        <v>-58.137733333333337</v>
      </c>
      <c r="H66" s="15">
        <v>29.668733333333332</v>
      </c>
      <c r="I66" s="15">
        <v>-58.10543333333333</v>
      </c>
      <c r="J66" s="1">
        <v>24.347999999999999</v>
      </c>
      <c r="K66" s="5">
        <f t="shared" si="0"/>
        <v>0.24348</v>
      </c>
      <c r="L66" s="5">
        <f t="shared" si="7"/>
        <v>4.1071135206177098</v>
      </c>
      <c r="M66" s="7">
        <v>1746</v>
      </c>
      <c r="N66" s="7">
        <f t="shared" si="2"/>
        <v>7171.0202069985216</v>
      </c>
      <c r="O66" s="7">
        <v>1713</v>
      </c>
      <c r="P66" s="7">
        <f t="shared" si="5"/>
        <v>7035.4854608181367</v>
      </c>
      <c r="Q66" s="7">
        <v>33</v>
      </c>
      <c r="R66" s="7">
        <f t="shared" si="6"/>
        <v>135.53474618038442</v>
      </c>
      <c r="S66">
        <v>13</v>
      </c>
      <c r="T66">
        <v>13</v>
      </c>
      <c r="U66">
        <v>13.1</v>
      </c>
      <c r="V66">
        <v>13.2</v>
      </c>
      <c r="W66"/>
      <c r="X66"/>
      <c r="Y66"/>
    </row>
    <row r="67" spans="1:26" x14ac:dyDescent="0.25">
      <c r="A67" s="3">
        <v>58</v>
      </c>
      <c r="B67" s="4">
        <v>42117</v>
      </c>
      <c r="C67" s="2">
        <v>0.74444444444444446</v>
      </c>
      <c r="D67" s="2">
        <v>0.78611111111111109</v>
      </c>
      <c r="E67" s="10">
        <v>60</v>
      </c>
      <c r="F67" s="15">
        <v>29.251416666666668</v>
      </c>
      <c r="G67" s="15">
        <v>-58.043016666666666</v>
      </c>
      <c r="H67" s="15">
        <v>29.031016666666666</v>
      </c>
      <c r="I67" s="15">
        <v>-58.010199999999998</v>
      </c>
      <c r="J67" s="1">
        <v>24.696999999999999</v>
      </c>
      <c r="K67" s="5">
        <f t="shared" si="0"/>
        <v>0.24697</v>
      </c>
      <c r="L67" s="5">
        <f t="shared" si="7"/>
        <v>4.049074786411305</v>
      </c>
      <c r="M67" s="7">
        <v>621</v>
      </c>
      <c r="N67" s="7">
        <f t="shared" si="2"/>
        <v>2514.4754423614204</v>
      </c>
      <c r="O67" s="7">
        <v>566</v>
      </c>
      <c r="P67" s="7">
        <f t="shared" si="5"/>
        <v>2291.7763291087986</v>
      </c>
      <c r="Q67" s="7">
        <v>55</v>
      </c>
      <c r="R67" s="7">
        <f t="shared" si="6"/>
        <v>222.69911325262177</v>
      </c>
      <c r="S67">
        <v>13.3</v>
      </c>
      <c r="T67">
        <v>13</v>
      </c>
      <c r="U67">
        <v>13.2</v>
      </c>
      <c r="V67">
        <v>13.2</v>
      </c>
      <c r="W67"/>
      <c r="X67"/>
      <c r="Y67"/>
    </row>
    <row r="68" spans="1:26" x14ac:dyDescent="0.25">
      <c r="A68" s="3">
        <v>59</v>
      </c>
      <c r="B68" s="4">
        <v>42118</v>
      </c>
      <c r="C68" s="2">
        <v>0.49861111111111112</v>
      </c>
      <c r="D68" s="2">
        <v>0.54236111111111118</v>
      </c>
      <c r="E68" s="10">
        <v>63</v>
      </c>
      <c r="F68" s="15">
        <v>27.95355</v>
      </c>
      <c r="G68" s="15">
        <v>-58.159383333333331</v>
      </c>
      <c r="H68" s="15">
        <v>27.735199999999999</v>
      </c>
      <c r="I68" s="15">
        <v>-58.124200000000002</v>
      </c>
      <c r="J68" s="1">
        <v>24.507999999999999</v>
      </c>
      <c r="K68" s="5">
        <f t="shared" si="0"/>
        <v>0.24507999999999999</v>
      </c>
      <c r="L68" s="5">
        <f t="shared" si="7"/>
        <v>4.0803003101028237</v>
      </c>
      <c r="M68" s="7">
        <v>238</v>
      </c>
      <c r="N68" s="7">
        <f t="shared" si="2"/>
        <v>971.11147380447198</v>
      </c>
      <c r="O68" s="7">
        <v>218</v>
      </c>
      <c r="P68" s="7">
        <f t="shared" si="5"/>
        <v>889.50546760241559</v>
      </c>
      <c r="Q68" s="7">
        <v>20</v>
      </c>
      <c r="R68" s="7">
        <f t="shared" si="6"/>
        <v>81.606006202056477</v>
      </c>
      <c r="S68">
        <v>12.7</v>
      </c>
      <c r="T68">
        <v>12</v>
      </c>
      <c r="U68">
        <v>12.9</v>
      </c>
      <c r="V68">
        <v>12.7</v>
      </c>
      <c r="W68">
        <v>12.5</v>
      </c>
      <c r="X68"/>
      <c r="Y68"/>
    </row>
    <row r="69" spans="1:26" x14ac:dyDescent="0.25">
      <c r="A69" s="3">
        <v>60</v>
      </c>
      <c r="B69" s="4">
        <v>42118</v>
      </c>
      <c r="C69" s="2">
        <v>0.6479166666666667</v>
      </c>
      <c r="D69" s="2">
        <v>0.68958333333333333</v>
      </c>
      <c r="E69" s="10">
        <v>60</v>
      </c>
      <c r="F69" s="15">
        <v>27.504483333333333</v>
      </c>
      <c r="G69" s="15">
        <v>-58.089716666666668</v>
      </c>
      <c r="H69" s="15">
        <v>27.292216666666668</v>
      </c>
      <c r="I69" s="15">
        <v>-58.055</v>
      </c>
      <c r="J69" s="1">
        <v>23.834</v>
      </c>
      <c r="K69" s="5">
        <f t="shared" si="0"/>
        <v>0.23834</v>
      </c>
      <c r="L69" s="5">
        <f t="shared" si="7"/>
        <v>4.1956868339347153</v>
      </c>
      <c r="M69" s="7">
        <v>639</v>
      </c>
      <c r="N69" s="7">
        <f t="shared" si="2"/>
        <v>2681.043886884283</v>
      </c>
      <c r="O69" s="7">
        <v>614</v>
      </c>
      <c r="P69" s="7">
        <f t="shared" si="5"/>
        <v>2576.1517160359153</v>
      </c>
      <c r="Q69" s="7">
        <v>25</v>
      </c>
      <c r="R69" s="7">
        <f t="shared" si="6"/>
        <v>104.89217084836788</v>
      </c>
      <c r="S69">
        <v>13.1</v>
      </c>
      <c r="T69">
        <v>13</v>
      </c>
      <c r="U69">
        <v>12.9</v>
      </c>
      <c r="V69">
        <v>13</v>
      </c>
      <c r="W69">
        <v>13.1</v>
      </c>
      <c r="X69">
        <v>13</v>
      </c>
      <c r="Y69">
        <v>12.9</v>
      </c>
    </row>
    <row r="70" spans="1:26" x14ac:dyDescent="0.25">
      <c r="A70" s="3">
        <v>61</v>
      </c>
      <c r="B70" s="4">
        <v>42119</v>
      </c>
      <c r="C70" s="2">
        <v>0.42777777777777781</v>
      </c>
      <c r="D70" s="2">
        <v>0.4694444444444445</v>
      </c>
      <c r="E70" s="10">
        <v>60</v>
      </c>
      <c r="F70" s="15">
        <v>25.928833333333333</v>
      </c>
      <c r="G70" s="15">
        <v>-58.087583333333335</v>
      </c>
      <c r="H70" s="15">
        <v>25.721833333333333</v>
      </c>
      <c r="I70" s="15">
        <v>-58.069183333333335</v>
      </c>
      <c r="J70" s="1">
        <v>23.074999999999999</v>
      </c>
      <c r="K70" s="5">
        <f t="shared" si="0"/>
        <v>0.23075000000000001</v>
      </c>
      <c r="L70" s="5">
        <f t="shared" si="7"/>
        <v>4.3336944745395449</v>
      </c>
      <c r="M70" s="7">
        <v>773</v>
      </c>
      <c r="N70" s="7">
        <f t="shared" si="2"/>
        <v>3349.9458288190681</v>
      </c>
      <c r="O70" s="7">
        <v>751</v>
      </c>
      <c r="P70" s="7">
        <f t="shared" si="5"/>
        <v>3254.6045503791984</v>
      </c>
      <c r="Q70" s="7">
        <v>22</v>
      </c>
      <c r="R70" s="7">
        <f t="shared" si="6"/>
        <v>95.341278439869996</v>
      </c>
      <c r="S70">
        <v>12.1</v>
      </c>
      <c r="T70">
        <v>12.3</v>
      </c>
      <c r="U70">
        <v>12.1</v>
      </c>
      <c r="V70">
        <v>12.7</v>
      </c>
      <c r="W70">
        <v>12.6</v>
      </c>
      <c r="X70"/>
      <c r="Y70"/>
    </row>
    <row r="71" spans="1:26" x14ac:dyDescent="0.25">
      <c r="A71" s="3">
        <v>62</v>
      </c>
      <c r="B71" s="4">
        <v>42119</v>
      </c>
      <c r="C71" s="2">
        <v>0.50972222222222219</v>
      </c>
      <c r="D71" s="2">
        <v>0.55138888888888882</v>
      </c>
      <c r="E71" s="10">
        <v>60</v>
      </c>
      <c r="F71" s="15">
        <v>25.519349999999999</v>
      </c>
      <c r="G71" s="15">
        <v>-58.047216666666664</v>
      </c>
      <c r="H71" s="15">
        <v>25.305316666666666</v>
      </c>
      <c r="I71" s="15">
        <v>-58.032249999999998</v>
      </c>
      <c r="J71" s="1">
        <v>23.831</v>
      </c>
      <c r="K71" s="5">
        <f t="shared" si="0"/>
        <v>0.23830999999999999</v>
      </c>
      <c r="L71" s="5">
        <f t="shared" si="7"/>
        <v>4.1962150140573202</v>
      </c>
      <c r="M71" s="7">
        <v>631</v>
      </c>
      <c r="N71" s="7">
        <f t="shared" si="2"/>
        <v>2647.8116738701692</v>
      </c>
      <c r="O71" s="7">
        <v>627</v>
      </c>
      <c r="P71" s="7">
        <f t="shared" si="5"/>
        <v>2631.02681381394</v>
      </c>
      <c r="Q71" s="7">
        <v>4</v>
      </c>
      <c r="R71" s="7">
        <f t="shared" si="6"/>
        <v>16.784860056229281</v>
      </c>
      <c r="S71">
        <v>12.9</v>
      </c>
      <c r="T71">
        <v>13.2</v>
      </c>
      <c r="U71">
        <v>12.6</v>
      </c>
      <c r="V71">
        <v>12.4</v>
      </c>
      <c r="W71">
        <v>12.7</v>
      </c>
      <c r="X71">
        <v>12.5</v>
      </c>
      <c r="Y71"/>
    </row>
    <row r="72" spans="1:26" x14ac:dyDescent="0.25">
      <c r="A72" s="3">
        <v>63</v>
      </c>
      <c r="B72" s="4">
        <v>42120</v>
      </c>
      <c r="C72" s="2">
        <v>0.4236111111111111</v>
      </c>
      <c r="D72" s="2">
        <v>0.46527777777777773</v>
      </c>
      <c r="E72" s="10">
        <v>60</v>
      </c>
      <c r="F72" s="15">
        <v>23.853866666666665</v>
      </c>
      <c r="G72" s="15">
        <v>-58.087049999999998</v>
      </c>
      <c r="H72" s="15">
        <v>23.704833333333333</v>
      </c>
      <c r="I72" s="15">
        <v>-58.072800000000001</v>
      </c>
      <c r="J72" s="1">
        <v>16.623999999999999</v>
      </c>
      <c r="K72" s="5">
        <f t="shared" si="0"/>
        <v>0.16624</v>
      </c>
      <c r="L72" s="5">
        <f t="shared" si="7"/>
        <v>6.0153994225216554</v>
      </c>
      <c r="M72" s="7">
        <v>2399</v>
      </c>
      <c r="N72" s="7">
        <f t="shared" si="2"/>
        <v>14430.943214629451</v>
      </c>
      <c r="O72" s="7">
        <v>2393</v>
      </c>
      <c r="P72" s="7">
        <f t="shared" si="5"/>
        <v>14394.850818094321</v>
      </c>
      <c r="Q72" s="7">
        <v>6</v>
      </c>
      <c r="R72" s="7">
        <f t="shared" si="6"/>
        <v>36.092396535129936</v>
      </c>
      <c r="S72">
        <v>9.1</v>
      </c>
      <c r="T72">
        <v>9.1999999999999993</v>
      </c>
      <c r="U72">
        <v>9.3000000000000007</v>
      </c>
      <c r="V72">
        <v>8.6999999999999993</v>
      </c>
      <c r="W72">
        <v>8.9</v>
      </c>
      <c r="X72"/>
      <c r="Y72"/>
      <c r="Z72" s="6" t="s">
        <v>25</v>
      </c>
    </row>
    <row r="73" spans="1:26" x14ac:dyDescent="0.25">
      <c r="A73" s="3">
        <v>64</v>
      </c>
      <c r="B73" s="4">
        <v>42120</v>
      </c>
      <c r="C73" s="2">
        <v>0.52986111111111112</v>
      </c>
      <c r="D73" s="2">
        <v>0.57152777777777775</v>
      </c>
      <c r="E73" s="10">
        <v>60</v>
      </c>
      <c r="F73" s="15">
        <v>23.481000000000002</v>
      </c>
      <c r="G73" s="15">
        <v>-58.050833333333337</v>
      </c>
      <c r="H73" s="15">
        <v>23.335466666666665</v>
      </c>
      <c r="I73" s="15">
        <v>-58.036533333333331</v>
      </c>
      <c r="J73" s="1">
        <v>16.236999999999998</v>
      </c>
      <c r="K73" s="5">
        <f t="shared" si="0"/>
        <v>0.16236999999999999</v>
      </c>
      <c r="L73" s="5">
        <f t="shared" si="7"/>
        <v>6.1587731723840617</v>
      </c>
      <c r="M73" s="7">
        <v>1206</v>
      </c>
      <c r="N73" s="7">
        <f t="shared" si="2"/>
        <v>7427.4804458951785</v>
      </c>
      <c r="O73" s="7">
        <v>1196</v>
      </c>
      <c r="P73" s="7">
        <f t="shared" si="5"/>
        <v>7365.8927141713375</v>
      </c>
      <c r="Q73" s="7">
        <v>10</v>
      </c>
      <c r="R73" s="7">
        <f t="shared" si="6"/>
        <v>61.587731723840619</v>
      </c>
      <c r="S73">
        <v>8.6</v>
      </c>
      <c r="T73">
        <v>8.8000000000000007</v>
      </c>
      <c r="U73">
        <v>8.9</v>
      </c>
      <c r="V73">
        <v>8.8000000000000007</v>
      </c>
      <c r="W73">
        <v>9.1999999999999993</v>
      </c>
      <c r="X73"/>
      <c r="Y73"/>
    </row>
    <row r="74" spans="1:26" x14ac:dyDescent="0.25">
      <c r="A74" s="3">
        <v>65</v>
      </c>
      <c r="B74" s="4">
        <v>42120</v>
      </c>
      <c r="C74" s="2">
        <v>0.61736111111111114</v>
      </c>
      <c r="D74" s="2">
        <v>0.65902777777777777</v>
      </c>
      <c r="E74" s="10">
        <v>60</v>
      </c>
      <c r="F74" s="15">
        <v>23.175000000000001</v>
      </c>
      <c r="G74" s="15">
        <v>-58.01936666666667</v>
      </c>
      <c r="H74" s="15">
        <v>23.028933333333335</v>
      </c>
      <c r="I74" s="15">
        <v>-58.00418333333333</v>
      </c>
      <c r="J74" s="1">
        <v>16.305</v>
      </c>
      <c r="K74" s="5">
        <f t="shared" si="0"/>
        <v>0.16305</v>
      </c>
      <c r="L74" s="5">
        <f t="shared" si="7"/>
        <v>6.1330880098129406</v>
      </c>
      <c r="M74" s="7">
        <v>2870</v>
      </c>
      <c r="N74" s="7">
        <f t="shared" si="2"/>
        <v>17601.96258816314</v>
      </c>
      <c r="O74" s="7">
        <v>2863</v>
      </c>
      <c r="P74" s="7">
        <f t="shared" si="5"/>
        <v>17559.03097209445</v>
      </c>
      <c r="Q74" s="7">
        <v>7</v>
      </c>
      <c r="R74" s="7">
        <f t="shared" si="6"/>
        <v>42.931616068690587</v>
      </c>
      <c r="S74">
        <v>8.8000000000000007</v>
      </c>
      <c r="T74">
        <v>8.9</v>
      </c>
      <c r="U74">
        <v>9.1</v>
      </c>
      <c r="V74">
        <v>9</v>
      </c>
      <c r="W74">
        <v>8.6</v>
      </c>
      <c r="X74"/>
      <c r="Y74"/>
    </row>
    <row r="75" spans="1:26" x14ac:dyDescent="0.25">
      <c r="M75" s="7"/>
    </row>
    <row r="76" spans="1:26" x14ac:dyDescent="0.25">
      <c r="M76" s="7"/>
    </row>
    <row r="77" spans="1:26" x14ac:dyDescent="0.25">
      <c r="M77" s="7"/>
    </row>
    <row r="78" spans="1:26" x14ac:dyDescent="0.25">
      <c r="M78" s="7"/>
    </row>
    <row r="79" spans="1:26" x14ac:dyDescent="0.25">
      <c r="M79" s="7"/>
    </row>
    <row r="80" spans="1:26" x14ac:dyDescent="0.25">
      <c r="M80" s="7"/>
    </row>
    <row r="81" spans="13:13" x14ac:dyDescent="0.25">
      <c r="M81" s="7"/>
    </row>
    <row r="82" spans="13:13" x14ac:dyDescent="0.25">
      <c r="M82" s="7"/>
    </row>
    <row r="83" spans="13:13" x14ac:dyDescent="0.25">
      <c r="M83" s="7"/>
    </row>
    <row r="84" spans="13:13" x14ac:dyDescent="0.25">
      <c r="M84" s="7"/>
    </row>
    <row r="85" spans="13:13" x14ac:dyDescent="0.25">
      <c r="M85" s="7"/>
    </row>
    <row r="86" spans="13:13" x14ac:dyDescent="0.25">
      <c r="M86" s="7"/>
    </row>
    <row r="87" spans="13:13" x14ac:dyDescent="0.25">
      <c r="M87" s="7"/>
    </row>
    <row r="88" spans="13:13" x14ac:dyDescent="0.25">
      <c r="M88" s="7"/>
    </row>
    <row r="89" spans="13:13" x14ac:dyDescent="0.25">
      <c r="M89" s="7"/>
    </row>
    <row r="90" spans="13:13" x14ac:dyDescent="0.25">
      <c r="M90" s="7"/>
    </row>
    <row r="91" spans="13:13" x14ac:dyDescent="0.25">
      <c r="M91" s="7"/>
    </row>
    <row r="92" spans="13:13" x14ac:dyDescent="0.25">
      <c r="M92" s="7"/>
    </row>
    <row r="93" spans="13:13" x14ac:dyDescent="0.25">
      <c r="M93" s="7"/>
    </row>
  </sheetData>
  <autoFilter ref="A1:U1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Transect meta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</dc:creator>
  <cp:lastModifiedBy>Daniela Ransby</cp:lastModifiedBy>
  <dcterms:created xsi:type="dcterms:W3CDTF">2014-04-03T14:49:40Z</dcterms:created>
  <dcterms:modified xsi:type="dcterms:W3CDTF">2021-05-27T06:54:30Z</dcterms:modified>
</cp:coreProperties>
</file>